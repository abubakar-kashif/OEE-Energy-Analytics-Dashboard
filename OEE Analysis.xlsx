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EL(INTERN)\Project\"/>
    </mc:Choice>
  </mc:AlternateContent>
  <xr:revisionPtr revIDLastSave="0" documentId="8_{CF380A27-E236-492E-A93B-07971BC1DE37}" xr6:coauthVersionLast="47" xr6:coauthVersionMax="47" xr10:uidLastSave="{00000000-0000-0000-0000-000000000000}"/>
  <bookViews>
    <workbookView xWindow="-108" yWindow="-108" windowWidth="23256" windowHeight="13896" xr2:uid="{67B7D026-0B04-465D-AB89-0F8E1A2686BA}"/>
  </bookViews>
  <sheets>
    <sheet name="Intro" sheetId="2" r:id="rId1"/>
    <sheet name="DashBoard" sheetId="4" r:id="rId2"/>
    <sheet name="OEE Data Calculation" sheetId="1" r:id="rId3"/>
    <sheet name="OEE Summary" sheetId="5" r:id="rId4"/>
    <sheet name="Motor Energy Data" sheetId="3" r:id="rId5"/>
    <sheet name="Motor Energy 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5" l="1"/>
  <c r="I24" i="3"/>
  <c r="J24" i="3"/>
  <c r="L24" i="3"/>
  <c r="M24" i="3"/>
  <c r="I25" i="3"/>
  <c r="J25" i="3"/>
  <c r="L25" i="3"/>
  <c r="M25" i="3"/>
  <c r="I22" i="3"/>
  <c r="J22" i="3" s="1"/>
  <c r="L22" i="3" s="1"/>
  <c r="M22" i="3" s="1"/>
  <c r="I21" i="3"/>
  <c r="J21" i="3" s="1"/>
  <c r="L21" i="3" s="1"/>
  <c r="M21" i="3" s="1"/>
  <c r="I27" i="3"/>
  <c r="J27" i="3" s="1"/>
  <c r="L27" i="3" s="1"/>
  <c r="M27" i="3" s="1"/>
  <c r="I26" i="3"/>
  <c r="J26" i="3" s="1"/>
  <c r="I28" i="3"/>
  <c r="J28" i="3" s="1"/>
  <c r="L28" i="3" s="1"/>
  <c r="C5" i="6" s="1"/>
  <c r="I29" i="3"/>
  <c r="J29" i="3" s="1"/>
  <c r="L29" i="3" s="1"/>
  <c r="M29" i="3" s="1"/>
  <c r="D6" i="6" s="1"/>
  <c r="I30" i="3"/>
  <c r="J30" i="3" s="1"/>
  <c r="L30" i="3" s="1"/>
  <c r="C7" i="6" s="1"/>
  <c r="AB3" i="4"/>
  <c r="AB2" i="4"/>
  <c r="D11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C11" i="5"/>
  <c r="B11" i="5"/>
  <c r="E10" i="5"/>
  <c r="D10" i="5"/>
  <c r="C10" i="5"/>
  <c r="B10" i="5"/>
  <c r="E9" i="5"/>
  <c r="D9" i="5"/>
  <c r="C9" i="5"/>
  <c r="W26" i="1"/>
  <c r="S26" i="1"/>
  <c r="O26" i="1"/>
  <c r="K26" i="1"/>
  <c r="G26" i="1"/>
  <c r="AB25" i="1"/>
  <c r="AA26" i="1" s="1"/>
  <c r="AB21" i="1"/>
  <c r="AB15" i="1"/>
  <c r="X25" i="1"/>
  <c r="X21" i="1"/>
  <c r="X15" i="1"/>
  <c r="T25" i="1"/>
  <c r="T21" i="1"/>
  <c r="T15" i="1"/>
  <c r="P25" i="1"/>
  <c r="P21" i="1"/>
  <c r="P15" i="1"/>
  <c r="L25" i="1"/>
  <c r="L21" i="1"/>
  <c r="L15" i="1"/>
  <c r="H25" i="1"/>
  <c r="H21" i="1"/>
  <c r="H15" i="1"/>
  <c r="D25" i="1"/>
  <c r="D15" i="1"/>
  <c r="B9" i="5" s="1"/>
  <c r="J19" i="3"/>
  <c r="I12" i="3"/>
  <c r="J12" i="3" s="1"/>
  <c r="L12" i="3" s="1"/>
  <c r="M12" i="3" s="1"/>
  <c r="I13" i="3"/>
  <c r="J13" i="3" s="1"/>
  <c r="L13" i="3" s="1"/>
  <c r="M13" i="3" s="1"/>
  <c r="I14" i="3"/>
  <c r="J14" i="3" s="1"/>
  <c r="L14" i="3" s="1"/>
  <c r="M14" i="3" s="1"/>
  <c r="I15" i="3"/>
  <c r="J15" i="3" s="1"/>
  <c r="I16" i="3"/>
  <c r="J16" i="3" s="1"/>
  <c r="L16" i="3" s="1"/>
  <c r="M16" i="3" s="1"/>
  <c r="I17" i="3"/>
  <c r="J17" i="3" s="1"/>
  <c r="L17" i="3" s="1"/>
  <c r="M17" i="3" s="1"/>
  <c r="I18" i="3"/>
  <c r="J18" i="3" s="1"/>
  <c r="L18" i="3" s="1"/>
  <c r="M18" i="3" s="1"/>
  <c r="I19" i="3"/>
  <c r="I20" i="3"/>
  <c r="J20" i="3" s="1"/>
  <c r="L20" i="3" s="1"/>
  <c r="M20" i="3" s="1"/>
  <c r="I23" i="3"/>
  <c r="J23" i="3" s="1"/>
  <c r="L23" i="3" s="1"/>
  <c r="M23" i="3" s="1"/>
  <c r="I11" i="3"/>
  <c r="J11" i="3" s="1"/>
  <c r="L11" i="3" s="1"/>
  <c r="M11" i="3" s="1"/>
  <c r="AA18" i="1"/>
  <c r="AA14" i="1"/>
  <c r="W18" i="1"/>
  <c r="W14" i="1"/>
  <c r="S18" i="1"/>
  <c r="S14" i="1"/>
  <c r="O18" i="1"/>
  <c r="O14" i="1"/>
  <c r="K18" i="1"/>
  <c r="K14" i="1"/>
  <c r="G18" i="1"/>
  <c r="G14" i="1"/>
  <c r="C18" i="1"/>
  <c r="D21" i="1" s="1"/>
  <c r="C26" i="1" s="1"/>
  <c r="C14" i="1"/>
  <c r="M30" i="3" l="1"/>
  <c r="D7" i="6" s="1"/>
  <c r="C3" i="6"/>
  <c r="B4" i="6"/>
  <c r="B7" i="6"/>
  <c r="B3" i="6"/>
  <c r="B6" i="6"/>
  <c r="B5" i="6"/>
  <c r="M28" i="3"/>
  <c r="D5" i="6" s="1"/>
  <c r="C6" i="6"/>
  <c r="D3" i="6"/>
  <c r="B9" i="6"/>
  <c r="L19" i="3"/>
  <c r="L15" i="3"/>
  <c r="M15" i="3" s="1"/>
  <c r="D8" i="6" s="1"/>
  <c r="B8" i="6"/>
  <c r="AB4" i="4"/>
  <c r="L26" i="3"/>
  <c r="C8" i="6" l="1"/>
  <c r="C4" i="6"/>
  <c r="M26" i="3"/>
  <c r="C9" i="6"/>
  <c r="M19" i="3"/>
  <c r="D9" i="6" s="1"/>
  <c r="AB5" i="4"/>
  <c r="AB6" i="4" l="1"/>
  <c r="D4" i="6"/>
</calcChain>
</file>

<file path=xl/sharedStrings.xml><?xml version="1.0" encoding="utf-8"?>
<sst xmlns="http://schemas.openxmlformats.org/spreadsheetml/2006/main" count="152" uniqueCount="76">
  <si>
    <t>Machines</t>
  </si>
  <si>
    <t>Punching Machine (EUROMAC)</t>
  </si>
  <si>
    <t>Manual Paint Plant</t>
  </si>
  <si>
    <t>Shifting Time(min)</t>
  </si>
  <si>
    <t>SD LOSS(min)</t>
  </si>
  <si>
    <t>Loading Time(min)</t>
  </si>
  <si>
    <t>DownTime(min)</t>
  </si>
  <si>
    <t>Operating Time(min)</t>
  </si>
  <si>
    <t>Standard cylcle Time(min)</t>
  </si>
  <si>
    <t>Processing Quantity(per day)</t>
  </si>
  <si>
    <t>Defects(per day)</t>
  </si>
  <si>
    <t>Performance rate(%)=</t>
  </si>
  <si>
    <t>Quality Rate(%)=</t>
  </si>
  <si>
    <t>OEE(%)</t>
  </si>
  <si>
    <t>Lazer Machine</t>
  </si>
  <si>
    <t>Bending Machine</t>
  </si>
  <si>
    <t>Lathe Machine</t>
  </si>
  <si>
    <t>Welding Machine</t>
  </si>
  <si>
    <t>Auto Paint Plant</t>
  </si>
  <si>
    <t>Manaul Paint Plant</t>
  </si>
  <si>
    <t>Machine</t>
  </si>
  <si>
    <t>Quantity</t>
  </si>
  <si>
    <t>Phase</t>
  </si>
  <si>
    <t>Connection</t>
  </si>
  <si>
    <t>Conveyor</t>
  </si>
  <si>
    <t>Blower</t>
  </si>
  <si>
    <t>Water Pump</t>
  </si>
  <si>
    <t>Water Shifting</t>
  </si>
  <si>
    <t>Burner</t>
  </si>
  <si>
    <t>Furnance</t>
  </si>
  <si>
    <t>Paint Gun</t>
  </si>
  <si>
    <t>Cyclone</t>
  </si>
  <si>
    <t>Star</t>
  </si>
  <si>
    <t>Machine Energy Consumption &amp; Cost Analysis</t>
  </si>
  <si>
    <t>Running Hours</t>
  </si>
  <si>
    <t>Overall Equipment Effectiveness (OEE) Analysis</t>
  </si>
  <si>
    <t>Project: Machine Efficiency and OEE Analysis</t>
  </si>
  <si>
    <r>
      <rPr>
        <b/>
        <sz val="16"/>
        <color theme="1"/>
        <rFont val="Aptos Narrow"/>
        <family val="2"/>
        <scheme val="minor"/>
      </rPr>
      <t>Availability(%)</t>
    </r>
    <r>
      <rPr>
        <sz val="16"/>
        <color theme="1"/>
        <rFont val="Aptos Narrow"/>
        <family val="2"/>
        <scheme val="minor"/>
      </rPr>
      <t>=</t>
    </r>
  </si>
  <si>
    <r>
      <t xml:space="preserve">Name: </t>
    </r>
    <r>
      <rPr>
        <sz val="24"/>
        <color theme="1"/>
        <rFont val="Aptos Narrow"/>
        <family val="2"/>
        <scheme val="minor"/>
      </rPr>
      <t>Abubakar Kashif</t>
    </r>
  </si>
  <si>
    <r>
      <t xml:space="preserve">ID:  </t>
    </r>
    <r>
      <rPr>
        <sz val="24"/>
        <color theme="1"/>
        <rFont val="Aptos Narrow"/>
        <family val="2"/>
        <scheme val="minor"/>
      </rPr>
      <t>70</t>
    </r>
  </si>
  <si>
    <r>
      <t xml:space="preserve">Submitted TO: </t>
    </r>
    <r>
      <rPr>
        <sz val="24"/>
        <color theme="1"/>
        <rFont val="Aptos Narrow"/>
        <family val="2"/>
        <scheme val="minor"/>
      </rPr>
      <t>Sir Abrar Amin</t>
    </r>
  </si>
  <si>
    <r>
      <t xml:space="preserve">Section: </t>
    </r>
    <r>
      <rPr>
        <sz val="24"/>
        <color theme="1"/>
        <rFont val="Aptos Narrow"/>
        <family val="2"/>
        <scheme val="minor"/>
      </rPr>
      <t>Switchgear (Production)</t>
    </r>
  </si>
  <si>
    <t>Equipment</t>
  </si>
  <si>
    <t>Voltage (V)</t>
  </si>
  <si>
    <t>Current (A)</t>
  </si>
  <si>
    <t>Power  Factor (cosθ)</t>
  </si>
  <si>
    <t>Motor  Power  (kW)</t>
  </si>
  <si>
    <t>Total Load (kW)</t>
  </si>
  <si>
    <t>Energy (kWh)</t>
  </si>
  <si>
    <t>Cost (Rs/day)</t>
  </si>
  <si>
    <t>Availability (%)</t>
  </si>
  <si>
    <t>Performance (%)</t>
  </si>
  <si>
    <t>Quality (%)</t>
  </si>
  <si>
    <t>OEE (%)</t>
  </si>
  <si>
    <t>OEE Summary</t>
  </si>
  <si>
    <t>Machine Efficiency &amp; Energy Dashboard</t>
  </si>
  <si>
    <t>Last Update:</t>
  </si>
  <si>
    <t>Formula</t>
  </si>
  <si>
    <t>Average OEE</t>
  </si>
  <si>
    <t>Connected Load</t>
  </si>
  <si>
    <t>Daily Energy</t>
  </si>
  <si>
    <t>Daily Cost</t>
  </si>
  <si>
    <t>Total Machines</t>
  </si>
  <si>
    <t>Descryption</t>
  </si>
  <si>
    <t>Main Motor</t>
  </si>
  <si>
    <t>Energy Summary</t>
  </si>
  <si>
    <t>Connected Load(kW)</t>
  </si>
  <si>
    <t>Daily Cost (Rs/day)</t>
  </si>
  <si>
    <t>Daily Energy (kWh)</t>
  </si>
  <si>
    <t>Furnace Motor</t>
  </si>
  <si>
    <t>Star/Delta</t>
  </si>
  <si>
    <t xml:space="preserve">Heater </t>
  </si>
  <si>
    <t>Washing Area(Burner)</t>
  </si>
  <si>
    <t>Chiller</t>
  </si>
  <si>
    <t>Other Load</t>
  </si>
  <si>
    <t>Overall Load(all three)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</si>
</sst>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s &quot;\ #,##0.00"/>
  </numFmts>
  <fonts count="20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30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2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30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51">
    <xf numFmtId="0" fontId="0" fillId="0" borderId="0" xfId="0"/>
    <xf numFmtId="0" fontId="7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4" borderId="0" xfId="0" applyFont="1" applyFill="1" applyAlignment="1">
      <alignment vertical="center"/>
    </xf>
    <xf numFmtId="0" fontId="8" fillId="4" borderId="18" xfId="0" applyFont="1" applyFill="1" applyBorder="1" applyAlignment="1">
      <alignment vertical="center"/>
    </xf>
    <xf numFmtId="0" fontId="8" fillId="4" borderId="0" xfId="0" applyFont="1" applyFill="1" applyAlignment="1">
      <alignment vertical="center"/>
    </xf>
    <xf numFmtId="0" fontId="8" fillId="4" borderId="19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4" borderId="19" xfId="0" applyFont="1" applyFill="1" applyBorder="1" applyAlignment="1">
      <alignment vertical="center"/>
    </xf>
    <xf numFmtId="0" fontId="6" fillId="9" borderId="4" xfId="0" applyFont="1" applyFill="1" applyBorder="1" applyAlignment="1">
      <alignment horizontal="center" vertical="center"/>
    </xf>
    <xf numFmtId="2" fontId="6" fillId="9" borderId="4" xfId="0" applyNumberFormat="1" applyFont="1" applyFill="1" applyBorder="1" applyAlignment="1">
      <alignment horizontal="center" vertical="center"/>
    </xf>
    <xf numFmtId="10" fontId="11" fillId="10" borderId="4" xfId="0" applyNumberFormat="1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10" fontId="11" fillId="10" borderId="6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10" fontId="11" fillId="10" borderId="8" xfId="0" applyNumberFormat="1" applyFont="1" applyFill="1" applyBorder="1" applyAlignment="1">
      <alignment horizontal="center" vertical="center" wrapText="1"/>
    </xf>
    <xf numFmtId="10" fontId="11" fillId="10" borderId="9" xfId="0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3" xfId="0" applyBorder="1"/>
    <xf numFmtId="0" fontId="0" fillId="0" borderId="11" xfId="0" applyBorder="1"/>
    <xf numFmtId="0" fontId="6" fillId="9" borderId="7" xfId="0" applyFont="1" applyFill="1" applyBorder="1" applyAlignment="1">
      <alignment horizontal="center" vertical="center"/>
    </xf>
    <xf numFmtId="164" fontId="6" fillId="9" borderId="6" xfId="0" applyNumberFormat="1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2" fontId="6" fillId="9" borderId="8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2" fontId="0" fillId="2" borderId="4" xfId="0" applyNumberFormat="1" applyFill="1" applyBorder="1" applyAlignment="1">
      <alignment horizontal="center" vertical="center" wrapText="1"/>
    </xf>
    <xf numFmtId="164" fontId="0" fillId="2" borderId="4" xfId="0" applyNumberFormat="1" applyFill="1" applyBorder="1" applyAlignment="1">
      <alignment horizontal="center" vertical="center" wrapText="1"/>
    </xf>
    <xf numFmtId="10" fontId="0" fillId="2" borderId="4" xfId="0" applyNumberForma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2" fontId="11" fillId="10" borderId="4" xfId="0" applyNumberFormat="1" applyFont="1" applyFill="1" applyBorder="1" applyAlignment="1">
      <alignment horizontal="center" vertical="center" wrapText="1"/>
    </xf>
    <xf numFmtId="0" fontId="0" fillId="4" borderId="11" xfId="0" applyFill="1" applyBorder="1"/>
    <xf numFmtId="0" fontId="0" fillId="4" borderId="0" xfId="0" applyFill="1"/>
    <xf numFmtId="0" fontId="0" fillId="4" borderId="3" xfId="0" applyFill="1" applyBorder="1"/>
    <xf numFmtId="0" fontId="18" fillId="4" borderId="0" xfId="0" applyFont="1" applyFill="1" applyAlignment="1">
      <alignment horizontal="center" vertical="center"/>
    </xf>
    <xf numFmtId="15" fontId="18" fillId="0" borderId="0" xfId="0" applyNumberFormat="1" applyFont="1" applyAlignment="1">
      <alignment horizontal="center" vertical="center"/>
    </xf>
    <xf numFmtId="2" fontId="11" fillId="10" borderId="6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2" fontId="11" fillId="10" borderId="8" xfId="0" applyNumberFormat="1" applyFont="1" applyFill="1" applyBorder="1" applyAlignment="1">
      <alignment horizontal="center" vertical="center" wrapText="1"/>
    </xf>
    <xf numFmtId="2" fontId="11" fillId="10" borderId="9" xfId="0" applyNumberFormat="1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8" fillId="4" borderId="19" xfId="0" applyFont="1" applyFill="1" applyBorder="1" applyAlignment="1">
      <alignment horizontal="left" vertical="center"/>
    </xf>
    <xf numFmtId="0" fontId="8" fillId="4" borderId="20" xfId="0" applyFont="1" applyFill="1" applyBorder="1" applyAlignment="1">
      <alignment horizontal="left" vertical="center"/>
    </xf>
    <xf numFmtId="0" fontId="8" fillId="4" borderId="21" xfId="0" applyFont="1" applyFill="1" applyBorder="1" applyAlignment="1">
      <alignment horizontal="left" vertical="center"/>
    </xf>
    <xf numFmtId="0" fontId="8" fillId="4" borderId="22" xfId="0" applyFont="1" applyFill="1" applyBorder="1" applyAlignment="1">
      <alignment horizontal="left" vertical="center"/>
    </xf>
    <xf numFmtId="0" fontId="12" fillId="4" borderId="15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10" fontId="6" fillId="7" borderId="6" xfId="1" applyNumberFormat="1" applyFont="1" applyFill="1" applyBorder="1" applyAlignment="1">
      <alignment horizontal="center" vertical="center"/>
    </xf>
    <xf numFmtId="10" fontId="6" fillId="7" borderId="2" xfId="1" applyNumberFormat="1" applyFont="1" applyFill="1" applyBorder="1" applyAlignment="1">
      <alignment horizontal="center" vertical="center"/>
    </xf>
    <xf numFmtId="10" fontId="6" fillId="7" borderId="7" xfId="1" applyNumberFormat="1" applyFont="1" applyFill="1" applyBorder="1" applyAlignment="1">
      <alignment horizontal="center" vertical="center"/>
    </xf>
    <xf numFmtId="10" fontId="6" fillId="3" borderId="4" xfId="1" applyNumberFormat="1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10" fontId="6" fillId="7" borderId="9" xfId="1" applyNumberFormat="1" applyFont="1" applyFill="1" applyBorder="1" applyAlignment="1">
      <alignment horizontal="center" vertical="center"/>
    </xf>
    <xf numFmtId="10" fontId="6" fillId="7" borderId="3" xfId="1" applyNumberFormat="1" applyFont="1" applyFill="1" applyBorder="1" applyAlignment="1">
      <alignment horizontal="center" vertical="center"/>
    </xf>
    <xf numFmtId="10" fontId="6" fillId="7" borderId="10" xfId="1" applyNumberFormat="1" applyFont="1" applyFill="1" applyBorder="1" applyAlignment="1">
      <alignment horizontal="center" vertical="center"/>
    </xf>
    <xf numFmtId="10" fontId="6" fillId="7" borderId="11" xfId="1" applyNumberFormat="1" applyFont="1" applyFill="1" applyBorder="1" applyAlignment="1">
      <alignment horizontal="center" vertical="center"/>
    </xf>
    <xf numFmtId="10" fontId="6" fillId="7" borderId="0" xfId="1" applyNumberFormat="1" applyFont="1" applyFill="1" applyAlignment="1">
      <alignment horizontal="center" vertical="center"/>
    </xf>
    <xf numFmtId="10" fontId="6" fillId="7" borderId="12" xfId="1" applyNumberFormat="1" applyFont="1" applyFill="1" applyBorder="1" applyAlignment="1">
      <alignment horizontal="center" vertical="center"/>
    </xf>
    <xf numFmtId="10" fontId="6" fillId="7" borderId="13" xfId="1" applyNumberFormat="1" applyFont="1" applyFill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6" fillId="7" borderId="14" xfId="1" applyNumberFormat="1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0" fontId="6" fillId="3" borderId="8" xfId="1" applyNumberFormat="1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10" fontId="6" fillId="7" borderId="9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 applyAlignment="1">
      <alignment horizontal="center" vertical="center"/>
    </xf>
    <xf numFmtId="10" fontId="6" fillId="7" borderId="10" xfId="0" applyNumberFormat="1" applyFont="1" applyFill="1" applyBorder="1" applyAlignment="1">
      <alignment horizontal="center" vertical="center"/>
    </xf>
    <xf numFmtId="10" fontId="6" fillId="7" borderId="11" xfId="0" applyNumberFormat="1" applyFont="1" applyFill="1" applyBorder="1" applyAlignment="1">
      <alignment horizontal="center" vertical="center"/>
    </xf>
    <xf numFmtId="10" fontId="6" fillId="7" borderId="0" xfId="0" applyNumberFormat="1" applyFont="1" applyFill="1" applyAlignment="1">
      <alignment horizontal="center" vertical="center"/>
    </xf>
    <xf numFmtId="10" fontId="6" fillId="7" borderId="12" xfId="0" applyNumberFormat="1" applyFont="1" applyFill="1" applyBorder="1" applyAlignment="1">
      <alignment horizontal="center" vertical="center"/>
    </xf>
    <xf numFmtId="10" fontId="6" fillId="7" borderId="13" xfId="0" applyNumberFormat="1" applyFont="1" applyFill="1" applyBorder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10" fontId="6" fillId="7" borderId="14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9" fillId="5" borderId="16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&quot;Rs 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>
                <a:solidFill>
                  <a:schemeClr val="tx2">
                    <a:lumMod val="90000"/>
                    <a:lumOff val="10000"/>
                  </a:schemeClr>
                </a:solidFill>
              </a:rPr>
              <a:t>OEE By Machine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'OEE Summary'!$E$8</c:f>
              <c:strCache>
                <c:ptCount val="1"/>
                <c:pt idx="0">
                  <c:v>OEE (%)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'OEE Summary'!$A$9:$A$15</c:f>
              <c:strCache>
                <c:ptCount val="7"/>
                <c:pt idx="0">
                  <c:v>Punching Machine (EUROMAC)</c:v>
                </c:pt>
                <c:pt idx="1">
                  <c:v>Lazer Machine</c:v>
                </c:pt>
                <c:pt idx="2">
                  <c:v>Bending Machine</c:v>
                </c:pt>
                <c:pt idx="3">
                  <c:v>Lathe Machine</c:v>
                </c:pt>
                <c:pt idx="4">
                  <c:v>Welding Machine</c:v>
                </c:pt>
                <c:pt idx="5">
                  <c:v>Auto Paint Plant</c:v>
                </c:pt>
                <c:pt idx="6">
                  <c:v>Manual Paint Plant</c:v>
                </c:pt>
              </c:strCache>
            </c:strRef>
          </c:cat>
          <c:val>
            <c:numRef>
              <c:f>'OEE Summary'!$E$9:$E$15</c:f>
              <c:numCache>
                <c:formatCode>0.00%</c:formatCode>
                <c:ptCount val="7"/>
                <c:pt idx="0">
                  <c:v>0.73333333333333328</c:v>
                </c:pt>
                <c:pt idx="1">
                  <c:v>0.83333333333333326</c:v>
                </c:pt>
                <c:pt idx="2">
                  <c:v>0.64761904761904754</c:v>
                </c:pt>
                <c:pt idx="3">
                  <c:v>0.69285714285714284</c:v>
                </c:pt>
                <c:pt idx="4">
                  <c:v>0.71428571428571419</c:v>
                </c:pt>
                <c:pt idx="5">
                  <c:v>0.78</c:v>
                </c:pt>
                <c:pt idx="6">
                  <c:v>0.64166666666666661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B-46A2-B73E-34B06E77E0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4291887"/>
        <c:axId val="654293807"/>
      </c:barChart>
      <c:catAx>
        <c:axId val="65429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293807"/>
        <c:crosses val="autoZero"/>
        <c:auto val="1"/>
        <c:lblAlgn val="ctr"/>
        <c:lblOffset val="100"/>
        <c:noMultiLvlLbl val="0"/>
      </c:catAx>
      <c:valAx>
        <c:axId val="65429380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29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>
                <a:solidFill>
                  <a:schemeClr val="tx2">
                    <a:lumMod val="90000"/>
                    <a:lumOff val="10000"/>
                  </a:schemeClr>
                </a:solidFill>
              </a:rPr>
              <a:t>Availability vs Performance vs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'OEE Summary'!$B$8</c:f>
              <c:strCache>
                <c:ptCount val="1"/>
                <c:pt idx="0">
                  <c:v>Availability (%)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'OEE Summary'!$A$9:$A$15</c:f>
              <c:strCache>
                <c:ptCount val="7"/>
                <c:pt idx="0">
                  <c:v>Punching Machine (EUROMAC)</c:v>
                </c:pt>
                <c:pt idx="1">
                  <c:v>Lazer Machine</c:v>
                </c:pt>
                <c:pt idx="2">
                  <c:v>Bending Machine</c:v>
                </c:pt>
                <c:pt idx="3">
                  <c:v>Lathe Machine</c:v>
                </c:pt>
                <c:pt idx="4">
                  <c:v>Welding Machine</c:v>
                </c:pt>
                <c:pt idx="5">
                  <c:v>Auto Paint Plant</c:v>
                </c:pt>
                <c:pt idx="6">
                  <c:v>Manual Paint Plant</c:v>
                </c:pt>
              </c:strCache>
            </c:strRef>
          </c:cat>
          <c:val>
            <c:numRef>
              <c:f>'OEE Summary'!$B$9:$B$15</c:f>
              <c:numCache>
                <c:formatCode>0.00%</c:formatCode>
                <c:ptCount val="7"/>
                <c:pt idx="0">
                  <c:v>0.91666666666666663</c:v>
                </c:pt>
                <c:pt idx="1">
                  <c:v>0.95238095238095233</c:v>
                </c:pt>
                <c:pt idx="2">
                  <c:v>0.94047619047619047</c:v>
                </c:pt>
                <c:pt idx="3">
                  <c:v>0.86904761904761907</c:v>
                </c:pt>
                <c:pt idx="4">
                  <c:v>0.9642857142857143</c:v>
                </c:pt>
                <c:pt idx="5">
                  <c:v>0.9285714285714286</c:v>
                </c:pt>
                <c:pt idx="6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2-40A0-B60D-2F3E0B113351}"/>
            </c:ext>
          </c:extLst>
        </c:ser>
        <c:ser>
          <c:idx val="1"/>
          <c:order val="1"/>
          <c:tx>
            <c:strRef>
              <c:f>'OEE Summary'!$C$8</c:f>
              <c:strCache>
                <c:ptCount val="1"/>
                <c:pt idx="0">
                  <c:v>Performance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'OEE Summary'!$A$9:$A$15</c:f>
              <c:strCache>
                <c:ptCount val="7"/>
                <c:pt idx="0">
                  <c:v>Punching Machine (EUROMAC)</c:v>
                </c:pt>
                <c:pt idx="1">
                  <c:v>Lazer Machine</c:v>
                </c:pt>
                <c:pt idx="2">
                  <c:v>Bending Machine</c:v>
                </c:pt>
                <c:pt idx="3">
                  <c:v>Lathe Machine</c:v>
                </c:pt>
                <c:pt idx="4">
                  <c:v>Welding Machine</c:v>
                </c:pt>
                <c:pt idx="5">
                  <c:v>Auto Paint Plant</c:v>
                </c:pt>
                <c:pt idx="6">
                  <c:v>Manual Paint Plant</c:v>
                </c:pt>
              </c:strCache>
            </c:strRef>
          </c:cat>
          <c:val>
            <c:numRef>
              <c:f>'OEE Summary'!$C$9:$C$15</c:f>
              <c:numCache>
                <c:formatCode>0.00%</c:formatCode>
                <c:ptCount val="7"/>
                <c:pt idx="0">
                  <c:v>0.91428571428571426</c:v>
                </c:pt>
                <c:pt idx="1">
                  <c:v>0.9375</c:v>
                </c:pt>
                <c:pt idx="2">
                  <c:v>0.70886075949367089</c:v>
                </c:pt>
                <c:pt idx="3">
                  <c:v>0.82191780821917804</c:v>
                </c:pt>
                <c:pt idx="4">
                  <c:v>0.79012345679012341</c:v>
                </c:pt>
                <c:pt idx="5">
                  <c:v>0.8640000000000001</c:v>
                </c:pt>
                <c:pt idx="6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B2-40A0-B60D-2F3E0B113351}"/>
            </c:ext>
          </c:extLst>
        </c:ser>
        <c:ser>
          <c:idx val="2"/>
          <c:order val="2"/>
          <c:tx>
            <c:strRef>
              <c:f>'OEE Summary'!$D$8</c:f>
              <c:strCache>
                <c:ptCount val="1"/>
                <c:pt idx="0">
                  <c:v>Quality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'OEE Summary'!$A$9:$A$15</c:f>
              <c:strCache>
                <c:ptCount val="7"/>
                <c:pt idx="0">
                  <c:v>Punching Machine (EUROMAC)</c:v>
                </c:pt>
                <c:pt idx="1">
                  <c:v>Lazer Machine</c:v>
                </c:pt>
                <c:pt idx="2">
                  <c:v>Bending Machine</c:v>
                </c:pt>
                <c:pt idx="3">
                  <c:v>Lathe Machine</c:v>
                </c:pt>
                <c:pt idx="4">
                  <c:v>Welding Machine</c:v>
                </c:pt>
                <c:pt idx="5">
                  <c:v>Auto Paint Plant</c:v>
                </c:pt>
                <c:pt idx="6">
                  <c:v>Manual Paint Plant</c:v>
                </c:pt>
              </c:strCache>
            </c:strRef>
          </c:cat>
          <c:val>
            <c:numRef>
              <c:f>'OEE Summary'!$D$9:$D$15</c:f>
              <c:numCache>
                <c:formatCode>0.00%</c:formatCode>
                <c:ptCount val="7"/>
                <c:pt idx="0">
                  <c:v>0.875</c:v>
                </c:pt>
                <c:pt idx="1">
                  <c:v>0.93333333333333335</c:v>
                </c:pt>
                <c:pt idx="2">
                  <c:v>0.97142857142857142</c:v>
                </c:pt>
                <c:pt idx="3">
                  <c:v>0.97</c:v>
                </c:pt>
                <c:pt idx="4">
                  <c:v>0.9375</c:v>
                </c:pt>
                <c:pt idx="5">
                  <c:v>0.97222222222222221</c:v>
                </c:pt>
                <c:pt idx="6">
                  <c:v>0.91666666666666663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B2-40A0-B60D-2F3E0B113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538367"/>
        <c:axId val="363536447"/>
      </c:barChart>
      <c:catAx>
        <c:axId val="36353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536447"/>
        <c:crosses val="autoZero"/>
        <c:auto val="1"/>
        <c:lblAlgn val="ctr"/>
        <c:lblOffset val="100"/>
        <c:noMultiLvlLbl val="0"/>
      </c:catAx>
      <c:valAx>
        <c:axId val="3635364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53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>
                <a:solidFill>
                  <a:schemeClr val="tx2">
                    <a:lumMod val="90000"/>
                    <a:lumOff val="10000"/>
                  </a:schemeClr>
                </a:solidFill>
              </a:rPr>
              <a:t>Connected Load(kW) By Machine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'Motor Energy Summary'!$B$2</c:f>
              <c:strCache>
                <c:ptCount val="1"/>
                <c:pt idx="0">
                  <c:v>Connected Load(kW)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'Motor Energy Summary'!$A$3:$A$9</c:f>
              <c:strCache>
                <c:ptCount val="7"/>
                <c:pt idx="0">
                  <c:v>Punching Machine (EUROMAC)</c:v>
                </c:pt>
                <c:pt idx="1">
                  <c:v>Lazer Machine</c:v>
                </c:pt>
                <c:pt idx="2">
                  <c:v>Bending Machine</c:v>
                </c:pt>
                <c:pt idx="3">
                  <c:v>Lathe Machine</c:v>
                </c:pt>
                <c:pt idx="4">
                  <c:v>Welding Machine</c:v>
                </c:pt>
                <c:pt idx="5">
                  <c:v>Auto Paint Plant</c:v>
                </c:pt>
                <c:pt idx="6">
                  <c:v>Manual Paint Plant</c:v>
                </c:pt>
              </c:strCache>
            </c:strRef>
          </c:cat>
          <c:val>
            <c:numRef>
              <c:f>'Motor Energy Summary'!$B$3:$B$9</c:f>
              <c:numCache>
                <c:formatCode>0.00</c:formatCode>
                <c:ptCount val="7"/>
                <c:pt idx="0">
                  <c:v>14.215410000000002</c:v>
                </c:pt>
                <c:pt idx="1">
                  <c:v>10.338480000000001</c:v>
                </c:pt>
                <c:pt idx="2">
                  <c:v>4.5230850000000009</c:v>
                </c:pt>
                <c:pt idx="3">
                  <c:v>1.6153875</c:v>
                </c:pt>
                <c:pt idx="4">
                  <c:v>26.492355</c:v>
                </c:pt>
                <c:pt idx="5">
                  <c:v>59.963183999999998</c:v>
                </c:pt>
                <c:pt idx="6">
                  <c:v>37.301671800000001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2-4D21-AE28-FE24B680CE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56706079"/>
        <c:axId val="656705119"/>
      </c:barChart>
      <c:catAx>
        <c:axId val="65670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705119"/>
        <c:crosses val="autoZero"/>
        <c:auto val="1"/>
        <c:lblAlgn val="ctr"/>
        <c:lblOffset val="100"/>
        <c:noMultiLvlLbl val="0"/>
      </c:catAx>
      <c:valAx>
        <c:axId val="65670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70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>
                <a:solidFill>
                  <a:schemeClr val="tx2">
                    <a:lumMod val="90000"/>
                    <a:lumOff val="10000"/>
                  </a:schemeClr>
                </a:solidFill>
              </a:rPr>
              <a:t>Daily Energy (kWh) By Machine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'Motor Energy Summary'!$C$2</c:f>
              <c:strCache>
                <c:ptCount val="1"/>
                <c:pt idx="0">
                  <c:v>Daily Energy (kWh)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'Motor Energy Summary'!$A$3:$A$9</c:f>
              <c:strCache>
                <c:ptCount val="7"/>
                <c:pt idx="0">
                  <c:v>Punching Machine (EUROMAC)</c:v>
                </c:pt>
                <c:pt idx="1">
                  <c:v>Lazer Machine</c:v>
                </c:pt>
                <c:pt idx="2">
                  <c:v>Bending Machine</c:v>
                </c:pt>
                <c:pt idx="3">
                  <c:v>Lathe Machine</c:v>
                </c:pt>
                <c:pt idx="4">
                  <c:v>Welding Machine</c:v>
                </c:pt>
                <c:pt idx="5">
                  <c:v>Auto Paint Plant</c:v>
                </c:pt>
                <c:pt idx="6">
                  <c:v>Manual Paint Plant</c:v>
                </c:pt>
              </c:strCache>
            </c:strRef>
          </c:cat>
          <c:val>
            <c:numRef>
              <c:f>'Motor Energy Summary'!$C$3:$C$9</c:f>
              <c:numCache>
                <c:formatCode>0.00</c:formatCode>
                <c:ptCount val="7"/>
                <c:pt idx="0">
                  <c:v>113.72328000000002</c:v>
                </c:pt>
                <c:pt idx="1">
                  <c:v>82.707840000000004</c:v>
                </c:pt>
                <c:pt idx="2">
                  <c:v>36.184680000000007</c:v>
                </c:pt>
                <c:pt idx="3">
                  <c:v>12.9231</c:v>
                </c:pt>
                <c:pt idx="4">
                  <c:v>211.93884</c:v>
                </c:pt>
                <c:pt idx="5">
                  <c:v>479.70547199999999</c:v>
                </c:pt>
                <c:pt idx="6">
                  <c:v>298.41337440000001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B-44AE-8E3F-1B391395A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3537887"/>
        <c:axId val="363535967"/>
      </c:barChart>
      <c:catAx>
        <c:axId val="36353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535967"/>
        <c:crosses val="autoZero"/>
        <c:auto val="1"/>
        <c:lblAlgn val="ctr"/>
        <c:lblOffset val="100"/>
        <c:noMultiLvlLbl val="0"/>
      </c:catAx>
      <c:valAx>
        <c:axId val="36353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53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>
                <a:solidFill>
                  <a:schemeClr val="tx2">
                    <a:lumMod val="90000"/>
                    <a:lumOff val="10000"/>
                  </a:schemeClr>
                </a:solidFill>
              </a:rPr>
              <a:t>Daily Cost (Rs/day) By Machine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'Motor Energy Summary'!$D$2</c:f>
              <c:strCache>
                <c:ptCount val="1"/>
                <c:pt idx="0">
                  <c:v>Daily Cost (Rs/day)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'Motor Energy Summary'!$A$3:$A$9</c:f>
              <c:strCache>
                <c:ptCount val="7"/>
                <c:pt idx="0">
                  <c:v>Punching Machine (EUROMAC)</c:v>
                </c:pt>
                <c:pt idx="1">
                  <c:v>Lazer Machine</c:v>
                </c:pt>
                <c:pt idx="2">
                  <c:v>Bending Machine</c:v>
                </c:pt>
                <c:pt idx="3">
                  <c:v>Lathe Machine</c:v>
                </c:pt>
                <c:pt idx="4">
                  <c:v>Welding Machine</c:v>
                </c:pt>
                <c:pt idx="5">
                  <c:v>Auto Paint Plant</c:v>
                </c:pt>
                <c:pt idx="6">
                  <c:v>Manual Paint Plant</c:v>
                </c:pt>
              </c:strCache>
            </c:strRef>
          </c:cat>
          <c:val>
            <c:numRef>
              <c:f>'Motor Energy Summary'!$D$3:$D$9</c:f>
              <c:numCache>
                <c:formatCode>0.00</c:formatCode>
                <c:ptCount val="7"/>
                <c:pt idx="0">
                  <c:v>9097.8624000000018</c:v>
                </c:pt>
                <c:pt idx="1">
                  <c:v>6616.6272000000008</c:v>
                </c:pt>
                <c:pt idx="2">
                  <c:v>2894.7744000000007</c:v>
                </c:pt>
                <c:pt idx="3">
                  <c:v>1033.848</c:v>
                </c:pt>
                <c:pt idx="4">
                  <c:v>16955.107199999999</c:v>
                </c:pt>
                <c:pt idx="5">
                  <c:v>38376.437760000001</c:v>
                </c:pt>
                <c:pt idx="6">
                  <c:v>23873.069952000005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8-4953-8D71-9F4ED5924C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52342703"/>
        <c:axId val="657539183"/>
        <c:axId val="0"/>
      </c:bar3DChart>
      <c:catAx>
        <c:axId val="5523427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539183"/>
        <c:crosses val="autoZero"/>
        <c:auto val="1"/>
        <c:lblAlgn val="ctr"/>
        <c:lblOffset val="100"/>
        <c:noMultiLvlLbl val="0"/>
      </c:catAx>
      <c:valAx>
        <c:axId val="65753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tx2">
                        <a:lumMod val="90000"/>
                        <a:lumOff val="10000"/>
                      </a:schemeClr>
                    </a:solidFill>
                  </a:rPr>
                  <a:t>Thousands</a:t>
                </a:r>
              </a:p>
            </c:rich>
          </c:tx>
          <c:layout>
            <c:manualLayout>
              <c:xMode val="edge"/>
              <c:yMode val="edge"/>
              <c:x val="0.47847480995652891"/>
              <c:y val="0.899992969379073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34270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187326</xdr:colOff>
      <xdr:row>6</xdr:row>
      <xdr:rowOff>71438</xdr:rowOff>
    </xdr:from>
    <xdr:to>
      <xdr:col>17</xdr:col>
      <xdr:colOff>535781</xdr:colOff>
      <xdr:row>24</xdr:row>
      <xdr:rowOff>22637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570E36-C9E0-2330-A39C-1290B25BE4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007"/>
        <a:stretch>
          <a:fillRect/>
        </a:stretch>
      </xdr:blipFill>
      <xdr:spPr>
        <a:xfrm>
          <a:off x="6866732" y="1321594"/>
          <a:ext cx="3991768" cy="31658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26580</xdr:colOff>
      <xdr:row>4</xdr:row>
      <xdr:rowOff>256954</xdr:rowOff>
    </xdr:from>
    <xdr:to>
      <xdr:col>4</xdr:col>
      <xdr:colOff>26581</xdr:colOff>
      <xdr:row>9</xdr:row>
      <xdr:rowOff>17722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30E5B0E-DFE3-44FB-91EF-F5D423DFF1D4}"/>
            </a:ext>
          </a:extLst>
        </xdr:cNvPr>
        <xdr:cNvSpPr/>
      </xdr:nvSpPr>
      <xdr:spPr>
        <a:xfrm>
          <a:off x="292394" y="1594884"/>
          <a:ext cx="3030280" cy="1134140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dist="38100" dir="5400000" algn="t" rotWithShape="0">
            <a:prstClr val="black">
              <a:alpha val="59000"/>
            </a:prstClr>
          </a:outerShdw>
          <a:reflection blurRad="88900" stA="16000" endPos="65000" dist="101600" dir="5400000" sy="-100000" algn="bl" rotWithShape="0"/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Ins="91440" bIns="0" rtlCol="0" anchor="t"/>
        <a:lstStyle/>
        <a:p>
          <a:pPr algn="ctr"/>
          <a:r>
            <a:rPr lang="en-US" sz="1200" b="1">
              <a:solidFill>
                <a:schemeClr val="tx1"/>
              </a:solidFill>
            </a:rPr>
            <a:t>Total</a:t>
          </a:r>
          <a:r>
            <a:rPr lang="en-US" sz="1200" b="1" baseline="0">
              <a:solidFill>
                <a:schemeClr val="tx1"/>
              </a:solidFill>
            </a:rPr>
            <a:t> Machine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36723</xdr:colOff>
      <xdr:row>4</xdr:row>
      <xdr:rowOff>257061</xdr:rowOff>
    </xdr:from>
    <xdr:to>
      <xdr:col>7</xdr:col>
      <xdr:colOff>36725</xdr:colOff>
      <xdr:row>9</xdr:row>
      <xdr:rowOff>17829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92A1350D-028A-409C-914E-EC04D32839AC}"/>
            </a:ext>
          </a:extLst>
        </xdr:cNvPr>
        <xdr:cNvSpPr/>
      </xdr:nvSpPr>
      <xdr:spPr>
        <a:xfrm>
          <a:off x="3332603" y="1588266"/>
          <a:ext cx="3029640" cy="1137876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dist="38100" dir="5400000" algn="t" rotWithShape="0">
            <a:prstClr val="black">
              <a:alpha val="59000"/>
            </a:prstClr>
          </a:outerShdw>
          <a:reflection blurRad="88900" stA="16000" endPos="65000" dist="101600" dir="5400000" sy="-100000" algn="bl" rotWithShape="0"/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Ins="91440" bIns="0" rtlCol="0" anchor="t"/>
        <a:lstStyle/>
        <a:p>
          <a:pPr algn="ctr"/>
          <a:r>
            <a:rPr lang="en-US" sz="1200" b="1">
              <a:solidFill>
                <a:schemeClr val="tx1"/>
              </a:solidFill>
            </a:rPr>
            <a:t>Average OEE (%)</a:t>
          </a:r>
        </a:p>
      </xdr:txBody>
    </xdr:sp>
    <xdr:clientData/>
  </xdr:twoCellAnchor>
  <xdr:twoCellAnchor>
    <xdr:from>
      <xdr:col>7</xdr:col>
      <xdr:colOff>45904</xdr:colOff>
      <xdr:row>4</xdr:row>
      <xdr:rowOff>266241</xdr:rowOff>
    </xdr:from>
    <xdr:to>
      <xdr:col>10</xdr:col>
      <xdr:colOff>45905</xdr:colOff>
      <xdr:row>9</xdr:row>
      <xdr:rowOff>27009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D486F4D-1760-41E5-A686-B3EE3964EE41}"/>
            </a:ext>
          </a:extLst>
        </xdr:cNvPr>
        <xdr:cNvSpPr/>
      </xdr:nvSpPr>
      <xdr:spPr>
        <a:xfrm>
          <a:off x="6371422" y="1597446"/>
          <a:ext cx="3029640" cy="1137876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dist="38100" dir="5400000" algn="t" rotWithShape="0">
            <a:prstClr val="black">
              <a:alpha val="59000"/>
            </a:prstClr>
          </a:outerShdw>
          <a:reflection blurRad="88900" stA="16000" endPos="65000" dist="101600" dir="5400000" sy="-100000" algn="bl" rotWithShape="0"/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Ins="91440" bIns="0" rtlCol="0" anchor="t"/>
        <a:lstStyle/>
        <a:p>
          <a:pPr algn="ctr"/>
          <a:r>
            <a:rPr lang="en-US" sz="1200" b="1">
              <a:solidFill>
                <a:schemeClr val="tx1"/>
              </a:solidFill>
            </a:rPr>
            <a:t>Connected Load (kW)</a:t>
          </a:r>
        </a:p>
      </xdr:txBody>
    </xdr:sp>
    <xdr:clientData/>
  </xdr:twoCellAnchor>
  <xdr:twoCellAnchor>
    <xdr:from>
      <xdr:col>10</xdr:col>
      <xdr:colOff>55084</xdr:colOff>
      <xdr:row>5</xdr:row>
      <xdr:rowOff>9180</xdr:rowOff>
    </xdr:from>
    <xdr:to>
      <xdr:col>13</xdr:col>
      <xdr:colOff>55086</xdr:colOff>
      <xdr:row>9</xdr:row>
      <xdr:rowOff>45370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43A8382-4E61-44F4-AA88-4C8ECEFA87D5}"/>
            </a:ext>
          </a:extLst>
        </xdr:cNvPr>
        <xdr:cNvSpPr/>
      </xdr:nvSpPr>
      <xdr:spPr>
        <a:xfrm>
          <a:off x="9410241" y="1615807"/>
          <a:ext cx="3029640" cy="1137876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dist="38100" dir="5400000" algn="t" rotWithShape="0">
            <a:prstClr val="black">
              <a:alpha val="59000"/>
            </a:prstClr>
          </a:outerShdw>
          <a:reflection blurRad="88900" stA="16000" endPos="65000" dist="101600" dir="5400000" sy="-100000" algn="bl" rotWithShape="0"/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Ins="91440" bIns="0" rtlCol="0" anchor="t"/>
        <a:lstStyle/>
        <a:p>
          <a:pPr algn="ctr"/>
          <a:r>
            <a:rPr lang="en-US" sz="1200" b="1">
              <a:solidFill>
                <a:schemeClr val="tx1"/>
              </a:solidFill>
            </a:rPr>
            <a:t>Daily Energy (kWh)</a:t>
          </a:r>
        </a:p>
      </xdr:txBody>
    </xdr:sp>
    <xdr:clientData/>
  </xdr:twoCellAnchor>
  <xdr:twoCellAnchor>
    <xdr:from>
      <xdr:col>13</xdr:col>
      <xdr:colOff>91807</xdr:colOff>
      <xdr:row>5</xdr:row>
      <xdr:rowOff>0</xdr:rowOff>
    </xdr:from>
    <xdr:to>
      <xdr:col>16</xdr:col>
      <xdr:colOff>91808</xdr:colOff>
      <xdr:row>9</xdr:row>
      <xdr:rowOff>36190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BF7F252-D618-4E0B-893D-7DFC8C8BA895}"/>
            </a:ext>
          </a:extLst>
        </xdr:cNvPr>
        <xdr:cNvSpPr/>
      </xdr:nvSpPr>
      <xdr:spPr>
        <a:xfrm>
          <a:off x="12476602" y="1606627"/>
          <a:ext cx="3029640" cy="1137876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dist="38100" dir="5400000" algn="t" rotWithShape="0">
            <a:prstClr val="black">
              <a:alpha val="59000"/>
            </a:prstClr>
          </a:outerShdw>
          <a:reflection blurRad="88900" stA="16000" endPos="65000" dist="101600" dir="5400000" sy="-100000" algn="bl" rotWithShape="0"/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Ins="91440" bIns="0" rtlCol="0" anchor="t"/>
        <a:lstStyle/>
        <a:p>
          <a:pPr algn="ctr"/>
          <a:r>
            <a:rPr lang="en-US" sz="1200" b="1">
              <a:solidFill>
                <a:schemeClr val="tx1"/>
              </a:solidFill>
            </a:rPr>
            <a:t>Daily Cost (Rs/day)</a:t>
          </a:r>
        </a:p>
      </xdr:txBody>
    </xdr:sp>
    <xdr:clientData/>
  </xdr:twoCellAnchor>
  <xdr:oneCellAnchor>
    <xdr:from>
      <xdr:col>1</xdr:col>
      <xdr:colOff>936434</xdr:colOff>
      <xdr:row>6</xdr:row>
      <xdr:rowOff>146892</xdr:rowOff>
    </xdr:from>
    <xdr:ext cx="1148707" cy="383909"/>
    <xdr:sp macro="" textlink="AB2">
      <xdr:nvSpPr>
        <xdr:cNvPr id="15" name="TextBox 14">
          <a:extLst>
            <a:ext uri="{FF2B5EF4-FFF2-40B4-BE49-F238E27FC236}">
              <a16:creationId xmlns:a16="http://schemas.microsoft.com/office/drawing/2014/main" id="{CD34AB22-3140-A221-6B97-2A55D4B34444}"/>
            </a:ext>
          </a:extLst>
        </xdr:cNvPr>
        <xdr:cNvSpPr txBox="1"/>
      </xdr:nvSpPr>
      <xdr:spPr>
        <a:xfrm>
          <a:off x="1202675" y="2028940"/>
          <a:ext cx="1148707" cy="383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CDA3CF4A-BB34-4199-BE17-4F7399933776}" type="TxLink">
            <a:rPr lang="en-US" sz="22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pPr algn="ctr"/>
            <a:t>7</a:t>
          </a:fld>
          <a:endParaRPr lang="en-US" sz="22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oneCellAnchor>
  <xdr:oneCellAnchor>
    <xdr:from>
      <xdr:col>7</xdr:col>
      <xdr:colOff>569205</xdr:colOff>
      <xdr:row>6</xdr:row>
      <xdr:rowOff>137712</xdr:rowOff>
    </xdr:from>
    <xdr:ext cx="1441373" cy="403951"/>
    <xdr:sp macro="" textlink="AB4">
      <xdr:nvSpPr>
        <xdr:cNvPr id="17" name="TextBox 16">
          <a:extLst>
            <a:ext uri="{FF2B5EF4-FFF2-40B4-BE49-F238E27FC236}">
              <a16:creationId xmlns:a16="http://schemas.microsoft.com/office/drawing/2014/main" id="{6C3E0DAE-1A0C-8F08-3C40-02EABC2CF9F4}"/>
            </a:ext>
          </a:extLst>
        </xdr:cNvPr>
        <xdr:cNvSpPr txBox="1"/>
      </xdr:nvSpPr>
      <xdr:spPr>
        <a:xfrm>
          <a:off x="6894723" y="2019760"/>
          <a:ext cx="1441373" cy="4039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AAC6183A-F0DD-44AA-8A6B-9822E0DAE65D}" type="TxLink">
            <a:rPr lang="en-US" sz="22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pPr algn="ctr"/>
            <a:t>154.45</a:t>
          </a:fld>
          <a:endParaRPr lang="en-US" sz="22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oneCellAnchor>
  <xdr:oneCellAnchor>
    <xdr:from>
      <xdr:col>4</xdr:col>
      <xdr:colOff>725277</xdr:colOff>
      <xdr:row>6</xdr:row>
      <xdr:rowOff>137711</xdr:rowOff>
    </xdr:from>
    <xdr:ext cx="1514819" cy="413133"/>
    <xdr:sp macro="" textlink="AB3">
      <xdr:nvSpPr>
        <xdr:cNvPr id="18" name="TextBox 17">
          <a:extLst>
            <a:ext uri="{FF2B5EF4-FFF2-40B4-BE49-F238E27FC236}">
              <a16:creationId xmlns:a16="http://schemas.microsoft.com/office/drawing/2014/main" id="{731F3D98-5070-DB04-8E10-B56381DABB6B}"/>
            </a:ext>
          </a:extLst>
        </xdr:cNvPr>
        <xdr:cNvSpPr txBox="1"/>
      </xdr:nvSpPr>
      <xdr:spPr>
        <a:xfrm>
          <a:off x="4021157" y="2019759"/>
          <a:ext cx="1514819" cy="4131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7A9A3301-F6D4-45DC-BF34-02B6BCF85883}" type="TxLink">
            <a:rPr lang="en-US" sz="22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pPr algn="ctr"/>
            <a:t>72.04%</a:t>
          </a:fld>
          <a:endParaRPr lang="en-US" sz="22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oneCellAnchor>
  <xdr:oneCellAnchor>
    <xdr:from>
      <xdr:col>10</xdr:col>
      <xdr:colOff>495759</xdr:colOff>
      <xdr:row>6</xdr:row>
      <xdr:rowOff>110169</xdr:rowOff>
    </xdr:from>
    <xdr:ext cx="1661711" cy="449854"/>
    <xdr:sp macro="" textlink="AB5">
      <xdr:nvSpPr>
        <xdr:cNvPr id="19" name="TextBox 18">
          <a:extLst>
            <a:ext uri="{FF2B5EF4-FFF2-40B4-BE49-F238E27FC236}">
              <a16:creationId xmlns:a16="http://schemas.microsoft.com/office/drawing/2014/main" id="{4A96B258-AAA4-3214-9C0C-A29FAFD92D13}"/>
            </a:ext>
          </a:extLst>
        </xdr:cNvPr>
        <xdr:cNvSpPr txBox="1"/>
      </xdr:nvSpPr>
      <xdr:spPr>
        <a:xfrm>
          <a:off x="9850916" y="1992217"/>
          <a:ext cx="1661711" cy="4498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FA6E2F7E-32B0-40E0-A41D-7B97AA8E8E97}" type="TxLink">
            <a:rPr lang="en-US" sz="22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pPr algn="ctr"/>
            <a:t>1235.60</a:t>
          </a:fld>
          <a:endParaRPr lang="en-US" sz="22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oneCellAnchor>
  <xdr:oneCellAnchor>
    <xdr:from>
      <xdr:col>13</xdr:col>
      <xdr:colOff>661012</xdr:colOff>
      <xdr:row>6</xdr:row>
      <xdr:rowOff>128530</xdr:rowOff>
    </xdr:from>
    <xdr:ext cx="1836143" cy="422314"/>
    <xdr:sp macro="" textlink="AB6">
      <xdr:nvSpPr>
        <xdr:cNvPr id="20" name="TextBox 19">
          <a:extLst>
            <a:ext uri="{FF2B5EF4-FFF2-40B4-BE49-F238E27FC236}">
              <a16:creationId xmlns:a16="http://schemas.microsoft.com/office/drawing/2014/main" id="{0514EFBB-0A60-6087-C71F-72C42C89B9AC}"/>
            </a:ext>
          </a:extLst>
        </xdr:cNvPr>
        <xdr:cNvSpPr txBox="1"/>
      </xdr:nvSpPr>
      <xdr:spPr>
        <a:xfrm>
          <a:off x="13045807" y="2010578"/>
          <a:ext cx="1836143" cy="4223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E4DA1BF2-AD71-41B5-96E0-01154064F4DB}" type="TxLink">
            <a:rPr lang="en-US" sz="22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pPr algn="ctr"/>
            <a:t>Rs  98,847.73</a:t>
          </a:fld>
          <a:endParaRPr lang="en-US" sz="22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oneCellAnchor>
  <xdr:oneCellAnchor>
    <xdr:from>
      <xdr:col>11</xdr:col>
      <xdr:colOff>749912</xdr:colOff>
      <xdr:row>6</xdr:row>
      <xdr:rowOff>152553</xdr:rowOff>
    </xdr:from>
    <xdr:ext cx="817085" cy="37407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9C19C87-4A70-4826-69E5-6D21B1DC9532}"/>
            </a:ext>
          </a:extLst>
        </xdr:cNvPr>
        <xdr:cNvSpPr txBox="1"/>
      </xdr:nvSpPr>
      <xdr:spPr>
        <a:xfrm>
          <a:off x="11176612" y="2057553"/>
          <a:ext cx="817085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>
              <a:solidFill>
                <a:schemeClr val="tx2">
                  <a:lumMod val="75000"/>
                  <a:lumOff val="25000"/>
                </a:schemeClr>
              </a:solidFill>
            </a:rPr>
            <a:t>kWh</a:t>
          </a:r>
        </a:p>
      </xdr:txBody>
    </xdr:sp>
    <xdr:clientData/>
  </xdr:oneCellAnchor>
  <xdr:oneCellAnchor>
    <xdr:from>
      <xdr:col>8</xdr:col>
      <xdr:colOff>723417</xdr:colOff>
      <xdr:row>6</xdr:row>
      <xdr:rowOff>174324</xdr:rowOff>
    </xdr:from>
    <xdr:ext cx="661012" cy="37407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D8D18D5-4FEE-B5F3-F4E2-C1BD552F1CF6}"/>
            </a:ext>
          </a:extLst>
        </xdr:cNvPr>
        <xdr:cNvSpPr txBox="1"/>
      </xdr:nvSpPr>
      <xdr:spPr>
        <a:xfrm>
          <a:off x="8082160" y="2046667"/>
          <a:ext cx="661012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>
              <a:solidFill>
                <a:schemeClr val="tx2">
                  <a:lumMod val="75000"/>
                  <a:lumOff val="25000"/>
                </a:schemeClr>
              </a:solidFill>
            </a:rPr>
            <a:t>kW</a:t>
          </a:r>
        </a:p>
      </xdr:txBody>
    </xdr:sp>
    <xdr:clientData/>
  </xdr:oneCellAnchor>
  <xdr:twoCellAnchor>
    <xdr:from>
      <xdr:col>1</xdr:col>
      <xdr:colOff>0</xdr:colOff>
      <xdr:row>10</xdr:row>
      <xdr:rowOff>10886</xdr:rowOff>
    </xdr:from>
    <xdr:to>
      <xdr:col>9</xdr:col>
      <xdr:colOff>0</xdr:colOff>
      <xdr:row>21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F830526-25B0-444F-818C-0762CCD4E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97972</xdr:colOff>
      <xdr:row>10</xdr:row>
      <xdr:rowOff>0</xdr:rowOff>
    </xdr:from>
    <xdr:to>
      <xdr:col>16</xdr:col>
      <xdr:colOff>0</xdr:colOff>
      <xdr:row>20</xdr:row>
      <xdr:rowOff>261256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B0B0BA6-46F2-4BBD-BE48-C139EC5EB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264523</xdr:colOff>
      <xdr:row>22</xdr:row>
      <xdr:rowOff>0</xdr:rowOff>
    </xdr:from>
    <xdr:to>
      <xdr:col>9</xdr:col>
      <xdr:colOff>1</xdr:colOff>
      <xdr:row>36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0FD166E-88E0-4517-8D4F-20CF741C7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119743</xdr:colOff>
      <xdr:row>22</xdr:row>
      <xdr:rowOff>0</xdr:rowOff>
    </xdr:from>
    <xdr:to>
      <xdr:col>15</xdr:col>
      <xdr:colOff>1001486</xdr:colOff>
      <xdr:row>36</xdr:row>
      <xdr:rowOff>43542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93B1E862-3BDC-4D2F-A849-0D2950653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15</xdr:col>
      <xdr:colOff>1001486</xdr:colOff>
      <xdr:row>52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E70A5E1-D5D9-433B-9534-BCF772055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17</xdr:row>
      <xdr:rowOff>20255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70133AC-0B8C-AA2B-05E2-364E8C8B65AC}"/>
            </a:ext>
          </a:extLst>
        </xdr:cNvPr>
        <xdr:cNvSpPr txBox="1"/>
      </xdr:nvSpPr>
      <xdr:spPr>
        <a:xfrm>
          <a:off x="8551762" y="3319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48229</xdr:colOff>
      <xdr:row>27</xdr:row>
      <xdr:rowOff>124448</xdr:rowOff>
    </xdr:from>
    <xdr:ext cx="2941897" cy="8883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F12B141-17BD-8169-C321-5446481739F1}"/>
                </a:ext>
              </a:extLst>
            </xdr:cNvPr>
            <xdr:cNvSpPr txBox="1"/>
          </xdr:nvSpPr>
          <xdr:spPr>
            <a:xfrm>
              <a:off x="48229" y="5651359"/>
              <a:ext cx="2941897" cy="8883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300" b="1" i="1">
                        <a:latin typeface="Cambria Math" panose="02040503050406030204" pitchFamily="18" charset="0"/>
                      </a:rPr>
                      <m:t>𝑨𝒗𝒂𝒊𝒍𝒊𝒃𝒊𝒍𝒊𝒕𝒚</m:t>
                    </m:r>
                    <m:r>
                      <a:rPr lang="en-US" sz="13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3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eqArr>
                          <m:eqArrPr>
                            <m:ctrlPr>
                              <a:rPr lang="en-US" sz="1300" b="1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/>
                          <m:e>
                            <m:d>
                              <m:dPr>
                                <m:ctrlPr>
                                  <a:rPr lang="en-US" sz="13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300" b="1" i="1">
                                    <a:latin typeface="Cambria Math" panose="02040503050406030204" pitchFamily="18" charset="0"/>
                                  </a:rPr>
                                  <m:t>𝑳𝒐𝒂𝒅𝒊𝒏𝒈</m:t>
                                </m:r>
                                <m:r>
                                  <a:rPr lang="en-US" sz="1300" b="1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US" sz="1300" b="1" i="1">
                                    <a:latin typeface="Cambria Math" panose="02040503050406030204" pitchFamily="18" charset="0"/>
                                  </a:rPr>
                                  <m:t>𝑫𝒐𝒘𝒏𝑻𝒊𝒎𝒆</m:t>
                                </m:r>
                                <m:r>
                                  <a:rPr lang="en-US" sz="1300" b="1" i="1">
                                    <a:latin typeface="Cambria Math" panose="02040503050406030204" pitchFamily="18" charset="0"/>
                                  </a:rPr>
                                  <m:t> </m:t>
                                </m:r>
                              </m:e>
                            </m:d>
                            <m:r>
                              <a:rPr lang="en-US" sz="1300" b="1" i="1">
                                <a:latin typeface="Cambria Math" panose="02040503050406030204" pitchFamily="18" charset="0"/>
                                <a:sym typeface="Symbol" panose="05050102010706020507" pitchFamily="18" charset="2"/>
                              </a:rPr>
                              <m:t></m:t>
                            </m:r>
                            <m:r>
                              <a:rPr lang="en-US" sz="1300" b="1" i="1">
                                <a:latin typeface="Cambria Math" panose="02040503050406030204" pitchFamily="18" charset="0"/>
                              </a:rPr>
                              <m:t>𝟏𝟎𝟎</m:t>
                            </m:r>
                          </m:e>
                        </m:eqArr>
                      </m:num>
                      <m:den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𝑳𝒐𝒂𝒅𝒊𝒏𝒈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𝑻𝒊𝒎𝒆</m:t>
                        </m:r>
                      </m:den>
                    </m:f>
                  </m:oMath>
                </m:oMathPara>
              </a14:m>
              <a:endParaRPr lang="en-US" sz="13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F12B141-17BD-8169-C321-5446481739F1}"/>
                </a:ext>
              </a:extLst>
            </xdr:cNvPr>
            <xdr:cNvSpPr txBox="1"/>
          </xdr:nvSpPr>
          <xdr:spPr>
            <a:xfrm>
              <a:off x="48229" y="5651359"/>
              <a:ext cx="2941897" cy="8883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300" b="1" i="0">
                  <a:latin typeface="Cambria Math" panose="02040503050406030204" pitchFamily="18" charset="0"/>
                </a:rPr>
                <a:t>𝑨𝒗𝒂𝒊𝒍𝒊𝒃𝒊𝒍𝒊𝒕𝒚=█(@(𝑳𝒐𝒂𝒅𝒊𝒏𝒈−𝑫𝒐𝒘𝒏𝑻𝒊𝒎𝒆 )</a:t>
              </a:r>
              <a:r>
                <a:rPr lang="en-US" sz="1300" b="1" i="0">
                  <a:latin typeface="Cambria Math" panose="02040503050406030204" pitchFamily="18" charset="0"/>
                  <a:sym typeface="Symbol" panose="05050102010706020507" pitchFamily="18" charset="2"/>
                </a:rPr>
                <a:t></a:t>
              </a:r>
              <a:r>
                <a:rPr lang="en-US" sz="1300" b="1" i="0">
                  <a:latin typeface="Cambria Math" panose="02040503050406030204" pitchFamily="18" charset="0"/>
                </a:rPr>
                <a:t>𝟏𝟎𝟎)/(𝑳𝒐𝒂𝒅𝒊𝒏𝒈 𝑻𝒊𝒎𝒆)</a:t>
              </a:r>
              <a:endParaRPr lang="en-US" sz="1300" b="1" i="1"/>
            </a:p>
          </xdr:txBody>
        </xdr:sp>
      </mc:Fallback>
    </mc:AlternateContent>
    <xdr:clientData/>
  </xdr:oneCellAnchor>
  <xdr:oneCellAnchor>
    <xdr:from>
      <xdr:col>6</xdr:col>
      <xdr:colOff>0</xdr:colOff>
      <xdr:row>17</xdr:row>
      <xdr:rowOff>20255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49AE327-1C8E-6B30-2BA1-5DC15F5BBAFC}"/>
            </a:ext>
          </a:extLst>
        </xdr:cNvPr>
        <xdr:cNvSpPr txBox="1"/>
      </xdr:nvSpPr>
      <xdr:spPr>
        <a:xfrm>
          <a:off x="8551762" y="3319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405114</xdr:colOff>
      <xdr:row>31</xdr:row>
      <xdr:rowOff>68482</xdr:rowOff>
    </xdr:from>
    <xdr:ext cx="1603514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1960E4B-3FCA-790F-E43B-82DE4C63C649}"/>
            </a:ext>
          </a:extLst>
        </xdr:cNvPr>
        <xdr:cNvSpPr txBox="1"/>
      </xdr:nvSpPr>
      <xdr:spPr>
        <a:xfrm>
          <a:off x="4051139" y="6328457"/>
          <a:ext cx="160351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77165</xdr:colOff>
      <xdr:row>27</xdr:row>
      <xdr:rowOff>1</xdr:rowOff>
    </xdr:from>
    <xdr:ext cx="3539923" cy="10610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CE29451-FB86-549A-E87E-5F612874799B}"/>
                </a:ext>
              </a:extLst>
            </xdr:cNvPr>
            <xdr:cNvSpPr txBox="1"/>
          </xdr:nvSpPr>
          <xdr:spPr>
            <a:xfrm>
              <a:off x="3115519" y="5526912"/>
              <a:ext cx="3539923" cy="10610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300" b="1" i="1"/>
                <a:t>PerformaceRate</a:t>
              </a:r>
              <a14:m>
                <m:oMath xmlns:m="http://schemas.openxmlformats.org/officeDocument/2006/math">
                  <m:r>
                    <a:rPr lang="en-US" sz="1300" b="1" i="1">
                      <a:latin typeface="Cambria Math" panose="02040503050406030204" pitchFamily="18" charset="0"/>
                    </a:rPr>
                    <m:t> =</m:t>
                  </m:r>
                </m:oMath>
              </a14:m>
              <a:endParaRPr lang="en-US" sz="1300" b="1" i="1">
                <a:latin typeface="Cambria Math" panose="02040503050406030204" pitchFamily="18" charset="0"/>
              </a:endParaRPr>
            </a:p>
            <a:p>
              <a:endParaRPr lang="en-US" sz="1300" b="1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en-US" sz="13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𝑺𝒕𝒂𝒏𝒅𝒂𝒓𝒅𝑪𝒚𝒄𝒍𝒆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𝑷𝒓𝒐𝒄𝒆𝒔𝒔𝒊𝒏𝒈𝑸𝒖𝒂𝒏𝒕𝒊𝒕𝒚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×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𝟏𝟎𝟎</m:t>
                        </m:r>
                      </m:num>
                      <m:den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𝑶𝒑𝒆𝒓𝒂𝒕𝒊𝒏𝒈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𝑻𝒊𝒎𝒆</m:t>
                        </m:r>
                      </m:den>
                    </m:f>
                  </m:oMath>
                </m:oMathPara>
              </a14:m>
              <a:endParaRPr lang="en-US" sz="1300" b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CE29451-FB86-549A-E87E-5F612874799B}"/>
                </a:ext>
              </a:extLst>
            </xdr:cNvPr>
            <xdr:cNvSpPr txBox="1"/>
          </xdr:nvSpPr>
          <xdr:spPr>
            <a:xfrm>
              <a:off x="3115519" y="5526912"/>
              <a:ext cx="3539923" cy="10610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300" b="1" i="1"/>
                <a:t>PerformaceRate</a:t>
              </a:r>
              <a:r>
                <a:rPr lang="en-US" sz="1300" b="1" i="0">
                  <a:latin typeface="Cambria Math" panose="02040503050406030204" pitchFamily="18" charset="0"/>
                </a:rPr>
                <a:t> =</a:t>
              </a:r>
              <a:endParaRPr lang="en-US" sz="1300" b="1" i="1">
                <a:latin typeface="Cambria Math" panose="02040503050406030204" pitchFamily="18" charset="0"/>
              </a:endParaRPr>
            </a:p>
            <a:p>
              <a:pPr/>
              <a:endParaRPr lang="en-US" sz="1300" b="1" i="1">
                <a:latin typeface="Cambria Math" panose="02040503050406030204" pitchFamily="18" charset="0"/>
              </a:endParaRPr>
            </a:p>
            <a:p>
              <a:pPr/>
              <a:r>
                <a:rPr lang="en-US" sz="1300" b="1" i="0">
                  <a:latin typeface="Cambria Math" panose="02040503050406030204" pitchFamily="18" charset="0"/>
                </a:rPr>
                <a:t>(𝑺𝒕𝒂𝒏𝒅𝒂𝒓𝒅𝑪𝒚𝒄𝒍𝒆×𝑷𝒓𝒐𝒄𝒆𝒔𝒔𝒊𝒏𝒈𝑸𝒖𝒂𝒏𝒕𝒊𝒕𝒚</a:t>
              </a:r>
              <a:r>
                <a:rPr lang="en-US" sz="1300" b="1" i="0">
                  <a:latin typeface="Cambria Math" panose="02040503050406030204" pitchFamily="18" charset="0"/>
                  <a:sym typeface="Symbol" panose="05050102010706020507" pitchFamily="18" charset="2"/>
                </a:rPr>
                <a:t>×</a:t>
              </a:r>
              <a:r>
                <a:rPr lang="en-US" sz="1300" b="1" i="0">
                  <a:latin typeface="Cambria Math" panose="02040503050406030204" pitchFamily="18" charset="0"/>
                </a:rPr>
                <a:t>𝟏𝟎𝟎)/(𝑶𝒑𝒆𝒓𝒂𝒕𝒊𝒏𝒈 𝑻𝒊𝒎𝒆)</a:t>
              </a:r>
              <a:endParaRPr lang="en-US" sz="1300" b="1"/>
            </a:p>
          </xdr:txBody>
        </xdr:sp>
      </mc:Fallback>
    </mc:AlternateContent>
    <xdr:clientData/>
  </xdr:oneCellAnchor>
  <xdr:oneCellAnchor>
    <xdr:from>
      <xdr:col>9</xdr:col>
      <xdr:colOff>9646</xdr:colOff>
      <xdr:row>27</xdr:row>
      <xdr:rowOff>28937</xdr:rowOff>
    </xdr:from>
    <xdr:ext cx="4552708" cy="10224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6769C8F-4F49-AA31-4476-530ABB8F4E7A}"/>
                </a:ext>
              </a:extLst>
            </xdr:cNvPr>
            <xdr:cNvSpPr txBox="1"/>
          </xdr:nvSpPr>
          <xdr:spPr>
            <a:xfrm>
              <a:off x="6944811" y="5555848"/>
              <a:ext cx="4552708" cy="10224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300" b="1" i="1"/>
                <a:t>Quality</a:t>
              </a:r>
              <a:r>
                <a:rPr lang="en-US" sz="1300" b="1" i="1" baseline="0"/>
                <a:t> Rate </a:t>
              </a:r>
              <a14:m>
                <m:oMath xmlns:m="http://schemas.openxmlformats.org/officeDocument/2006/math">
                  <m:r>
                    <a:rPr lang="en-US" sz="1300" b="1" i="1">
                      <a:latin typeface="Cambria Math" panose="02040503050406030204" pitchFamily="18" charset="0"/>
                    </a:rPr>
                    <m:t>=</m:t>
                  </m:r>
                </m:oMath>
              </a14:m>
              <a:endParaRPr lang="en-US" sz="1300" b="1" i="1">
                <a:latin typeface="Cambria Math" panose="02040503050406030204" pitchFamily="18" charset="0"/>
              </a:endParaRPr>
            </a:p>
            <a:p>
              <a:endParaRPr lang="en-US" sz="1300" b="1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en-US" sz="13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𝑷𝒓𝒐𝒄𝒆𝒔𝒔𝒊𝒏𝒈𝑸𝒖𝒂𝒏𝒕𝒊𝒕𝒚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𝑫𝒆𝒇𝒆𝒄𝒕𝒊𝒗𝒆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𝒖𝒂𝒏𝒕𝒊𝒕𝒚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)×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𝟏𝟎𝟎</m:t>
                        </m:r>
                      </m:num>
                      <m:den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𝑷𝒓𝒐𝒄𝒆𝒔𝒔𝒊𝒏𝒈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</a:rPr>
                          <m:t>𝑸𝒖𝒂𝒏𝒕𝒊𝒕𝒚</m:t>
                        </m:r>
                      </m:den>
                    </m:f>
                  </m:oMath>
                </m:oMathPara>
              </a14:m>
              <a:endParaRPr lang="en-US" sz="1300" b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6769C8F-4F49-AA31-4476-530ABB8F4E7A}"/>
                </a:ext>
              </a:extLst>
            </xdr:cNvPr>
            <xdr:cNvSpPr txBox="1"/>
          </xdr:nvSpPr>
          <xdr:spPr>
            <a:xfrm>
              <a:off x="6944811" y="5555848"/>
              <a:ext cx="4552708" cy="10224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300" b="1" i="1"/>
                <a:t>Quality</a:t>
              </a:r>
              <a:r>
                <a:rPr lang="en-US" sz="1300" b="1" i="1" baseline="0"/>
                <a:t> Rate </a:t>
              </a:r>
              <a:r>
                <a:rPr lang="en-US" sz="1300" b="1" i="0">
                  <a:latin typeface="Cambria Math" panose="02040503050406030204" pitchFamily="18" charset="0"/>
                </a:rPr>
                <a:t>=</a:t>
              </a:r>
              <a:endParaRPr lang="en-US" sz="1300" b="1" i="1">
                <a:latin typeface="Cambria Math" panose="02040503050406030204" pitchFamily="18" charset="0"/>
              </a:endParaRPr>
            </a:p>
            <a:p>
              <a:endParaRPr lang="en-US" sz="1300" b="1" i="1">
                <a:latin typeface="Cambria Math" panose="02040503050406030204" pitchFamily="18" charset="0"/>
              </a:endParaRPr>
            </a:p>
            <a:p>
              <a:pPr/>
              <a:r>
                <a:rPr lang="en-US" sz="1300" b="1" i="0">
                  <a:latin typeface="Cambria Math" panose="02040503050406030204" pitchFamily="18" charset="0"/>
                </a:rPr>
                <a:t>((𝑷𝒓𝒐𝒄𝒆𝒔𝒔𝒊𝒏𝒈𝑸𝒖𝒂𝒏𝒕𝒊𝒕𝒚−𝑫𝒆𝒇𝒆𝒄𝒕𝒊𝒗𝒆 𝒖𝒂𝒏𝒕𝒊𝒕𝒚)×𝟏𝟎𝟎)/(𝑷𝒓𝒐𝒄𝒆𝒔𝒔𝒊𝒏𝒈 𝑸𝒖𝒂𝒏𝒕𝒊𝒕𝒚)</a:t>
              </a:r>
              <a:endParaRPr lang="en-US" sz="1300" b="1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1554C3-F6D5-4E6B-89C1-D474D5C32255}" name="tblOEE" displayName="tblOEE" ref="A8:E15" totalsRowShown="0" headerRowDxfId="35" dataDxfId="33" headerRowBorderDxfId="34" tableBorderDxfId="32" totalsRowBorderDxfId="31">
  <autoFilter ref="A8:E15" xr:uid="{901554C3-F6D5-4E6B-89C1-D474D5C32255}"/>
  <tableColumns count="5">
    <tableColumn id="1" xr3:uid="{2A1FA890-ABCF-4B24-9DEB-B50120E2A1E5}" name="Machine" dataDxfId="30"/>
    <tableColumn id="2" xr3:uid="{FB5DAAE5-7A5A-4311-B716-8459AD6BF3C3}" name="Availability (%)" dataDxfId="29"/>
    <tableColumn id="3" xr3:uid="{11CB3923-17D3-4E8D-A165-90AC686E9A9D}" name="Performance (%)" dataDxfId="28"/>
    <tableColumn id="4" xr3:uid="{5989CE76-9FC6-4467-B613-05F3076604C2}" name="Quality (%)" dataDxfId="27"/>
    <tableColumn id="5" xr3:uid="{A6A65524-E7C4-44EA-AE3D-435C51F2AA90}" name="OEE (%)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8F002C-E4AC-47CD-886A-42167E3E3521}" name="tblEnergy" displayName="tblEnergy" ref="A10:M30" totalsRowShown="0" headerRowDxfId="25" dataDxfId="23" headerRowBorderDxfId="24" tableBorderDxfId="22" totalsRowBorderDxfId="21">
  <autoFilter ref="A10:M30" xr:uid="{F48F002C-E4AC-47CD-886A-42167E3E3521}"/>
  <tableColumns count="13">
    <tableColumn id="1" xr3:uid="{33AA62D9-79E2-4B6C-82E6-77C5B1065E0A}" name="Machine" dataDxfId="20"/>
    <tableColumn id="2" xr3:uid="{CED44D93-700D-4CA9-9308-FE73D3329452}" name="Equipment" dataDxfId="19"/>
    <tableColumn id="3" xr3:uid="{D509242D-9778-45AC-83E3-B6433E62ADBA}" name="Quantity" dataDxfId="18"/>
    <tableColumn id="4" xr3:uid="{625AA87C-E809-4CE4-9E5F-BF4419E7663A}" name="Voltage (V)" dataDxfId="17"/>
    <tableColumn id="5" xr3:uid="{A78AFD81-03BD-4192-B23C-33BD26228D52}" name="Current (A)" dataDxfId="16"/>
    <tableColumn id="6" xr3:uid="{CE925827-6F6E-4783-93F5-AEC319502BA4}" name="Power  Factor (cosθ)" dataDxfId="15"/>
    <tableColumn id="7" xr3:uid="{B891EE12-B316-4FE4-BA65-C8D19A1E16D6}" name="Phase" dataDxfId="14"/>
    <tableColumn id="8" xr3:uid="{F80DA6F3-E790-400B-8BF4-8012CABAFA33}" name="Connection" dataDxfId="13"/>
    <tableColumn id="9" xr3:uid="{DB442B89-521B-4AD9-A32F-0FA61663A30E}" name="Motor  Power  (kW)" dataDxfId="12">
      <calculatedColumnFormula>(1.73*D11*E11*F11)/1000</calculatedColumnFormula>
    </tableColumn>
    <tableColumn id="10" xr3:uid="{E76D0308-C592-45C2-A6D1-636C25F95A1A}" name="Total Load (kW)" dataDxfId="11">
      <calculatedColumnFormula>I11*C11</calculatedColumnFormula>
    </tableColumn>
    <tableColumn id="11" xr3:uid="{34EA83F9-B82F-4CFD-9B28-3BFD79AB7CFF}" name="Running Hours" dataDxfId="10"/>
    <tableColumn id="12" xr3:uid="{32569315-C3ED-4B86-B9C0-997BA06A8704}" name="Energy (kWh)" dataDxfId="9">
      <calculatedColumnFormula>K11*J11</calculatedColumnFormula>
    </tableColumn>
    <tableColumn id="13" xr3:uid="{694C2667-7635-49DA-B43C-262B5127E5B3}" name="Cost (Rs/day)" dataDxfId="8">
      <calculatedColumnFormula>80*L11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7CDDED-D84C-469C-AF9A-0128A7CB8D05}" name="tblEnergySummary" displayName="tblEnergySummary" ref="A2:D9" totalsRowShown="0" headerRowDxfId="7" headerRowBorderDxfId="6" tableBorderDxfId="5" totalsRowBorderDxfId="4">
  <autoFilter ref="A2:D9" xr:uid="{7B7CDDED-D84C-469C-AF9A-0128A7CB8D05}"/>
  <tableColumns count="4">
    <tableColumn id="1" xr3:uid="{63001D93-6DA7-4959-B431-652951E63706}" name="Machine" dataDxfId="3"/>
    <tableColumn id="2" xr3:uid="{47CB6C87-5BF4-4F6F-B439-39C3CE213884}" name="Connected Load(kW)" dataDxfId="2">
      <calculatedColumnFormula>SUMIFS(tblEnergy[Total Load (kW)],tblEnergy[Machine],A3)</calculatedColumnFormula>
    </tableColumn>
    <tableColumn id="3" xr3:uid="{1E29ED40-6133-43C1-A999-E5BACFAE3DE9}" name="Daily Energy (kWh)" dataDxfId="1">
      <calculatedColumnFormula>SUMIFS(tblEnergy[Energy (kWh)],tblEnergy[Machine],A3)</calculatedColumnFormula>
    </tableColumn>
    <tableColumn id="4" xr3:uid="{49074144-9BFF-4B5E-9686-D2640F7B1251}" name="Daily Cost (Rs/day)" dataDxfId="0">
      <calculatedColumnFormula>SUMIFS(tblEnergy[Cost (Rs/day)],tblEnergy[Machine],A3)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A1A2-3ED4-4CA1-B5FE-82B2FF42E99B}">
  <dimension ref="D1:W34"/>
  <sheetViews>
    <sheetView showGridLines="0" tabSelected="1" zoomScale="80" zoomScaleNormal="80" workbookViewId="0">
      <selection activeCell="AA19" sqref="AA19"/>
    </sheetView>
  </sheetViews>
  <sheetFormatPr defaultRowHeight="14.4" x14ac:dyDescent="0.3"/>
  <sheetData>
    <row r="1" spans="4:23" ht="15" thickBot="1" x14ac:dyDescent="0.35"/>
    <row r="2" spans="4:23" ht="14.4" customHeight="1" x14ac:dyDescent="0.3">
      <c r="G2" s="56" t="s">
        <v>36</v>
      </c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8"/>
    </row>
    <row r="3" spans="4:23" ht="14.4" customHeight="1" x14ac:dyDescent="0.3">
      <c r="G3" s="59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1"/>
    </row>
    <row r="4" spans="4:23" ht="21" customHeight="1" x14ac:dyDescent="0.3">
      <c r="G4" s="59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1"/>
    </row>
    <row r="5" spans="4:23" ht="21" customHeight="1" x14ac:dyDescent="0.3">
      <c r="G5" s="59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spans="4:23" ht="14.4" customHeight="1" x14ac:dyDescent="0.3">
      <c r="G6" s="59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1"/>
    </row>
    <row r="7" spans="4:23" ht="14.4" customHeight="1" x14ac:dyDescent="0.3">
      <c r="D7" s="1"/>
      <c r="E7" s="1"/>
      <c r="F7" s="1"/>
      <c r="G7" s="59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1"/>
    </row>
    <row r="8" spans="4:23" ht="14.4" customHeight="1" x14ac:dyDescent="0.3">
      <c r="D8" s="1"/>
      <c r="E8" s="1"/>
      <c r="F8" s="1"/>
      <c r="G8" s="59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1"/>
    </row>
    <row r="9" spans="4:23" ht="14.4" customHeight="1" x14ac:dyDescent="0.3">
      <c r="D9" s="1"/>
      <c r="E9" s="1"/>
      <c r="F9" s="1"/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7"/>
    </row>
    <row r="10" spans="4:23" ht="14.4" customHeight="1" x14ac:dyDescent="0.3">
      <c r="D10" s="1"/>
      <c r="E10" s="1"/>
      <c r="F10" s="1"/>
      <c r="G10" s="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9"/>
    </row>
    <row r="11" spans="4:23" ht="14.4" customHeight="1" x14ac:dyDescent="0.3">
      <c r="D11" s="1"/>
      <c r="E11" s="1"/>
      <c r="F11" s="1"/>
      <c r="G11" s="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9"/>
    </row>
    <row r="12" spans="4:23" ht="14.4" customHeight="1" x14ac:dyDescent="0.3">
      <c r="D12" s="1"/>
      <c r="E12" s="1"/>
      <c r="F12" s="1"/>
      <c r="G12" s="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9"/>
    </row>
    <row r="13" spans="4:23" ht="14.4" customHeight="1" x14ac:dyDescent="0.3">
      <c r="D13" s="1"/>
      <c r="E13" s="1"/>
      <c r="F13" s="1"/>
      <c r="G13" s="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9"/>
    </row>
    <row r="14" spans="4:23" ht="14.4" customHeight="1" x14ac:dyDescent="0.3">
      <c r="D14" s="1"/>
      <c r="E14" s="1"/>
      <c r="F14" s="1"/>
      <c r="G14" s="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9"/>
    </row>
    <row r="15" spans="4:23" ht="14.4" customHeight="1" x14ac:dyDescent="0.3">
      <c r="D15" s="1"/>
      <c r="E15" s="1"/>
      <c r="F15" s="1"/>
      <c r="G15" s="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9"/>
    </row>
    <row r="16" spans="4:23" ht="14.4" customHeight="1" x14ac:dyDescent="0.3">
      <c r="D16" s="1"/>
      <c r="E16" s="1"/>
      <c r="F16" s="1"/>
      <c r="G16" s="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9"/>
    </row>
    <row r="17" spans="4:23" ht="14.4" customHeight="1" x14ac:dyDescent="0.3">
      <c r="D17" s="1"/>
      <c r="E17" s="1"/>
      <c r="F17" s="1"/>
      <c r="G17" s="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9"/>
    </row>
    <row r="18" spans="4:23" ht="14.4" customHeight="1" x14ac:dyDescent="0.3">
      <c r="D18" s="1"/>
      <c r="E18" s="1"/>
      <c r="F18" s="1"/>
      <c r="G18" s="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9"/>
    </row>
    <row r="19" spans="4:23" ht="14.4" customHeight="1" x14ac:dyDescent="0.3">
      <c r="G19" s="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9"/>
    </row>
    <row r="20" spans="4:23" ht="14.4" customHeight="1" x14ac:dyDescent="0.3">
      <c r="G20" s="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9"/>
    </row>
    <row r="21" spans="4:23" ht="14.4" customHeight="1" x14ac:dyDescent="0.3">
      <c r="G21" s="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9"/>
    </row>
    <row r="22" spans="4:23" ht="14.4" customHeight="1" x14ac:dyDescent="0.3">
      <c r="G22" s="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9"/>
    </row>
    <row r="23" spans="4:23" ht="14.4" customHeight="1" x14ac:dyDescent="0.3">
      <c r="G23" s="50" t="s">
        <v>38</v>
      </c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2"/>
    </row>
    <row r="24" spans="4:23" ht="14.4" customHeight="1" x14ac:dyDescent="0.3">
      <c r="G24" s="50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2"/>
    </row>
    <row r="25" spans="4:23" ht="21" customHeight="1" x14ac:dyDescent="0.3">
      <c r="G25" s="50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2"/>
    </row>
    <row r="26" spans="4:23" ht="21" customHeight="1" x14ac:dyDescent="0.3">
      <c r="G26" s="50" t="s">
        <v>39</v>
      </c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2"/>
    </row>
    <row r="27" spans="4:23" ht="21" customHeight="1" x14ac:dyDescent="0.3">
      <c r="G27" s="50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2"/>
    </row>
    <row r="28" spans="4:23" ht="21" customHeight="1" x14ac:dyDescent="0.3">
      <c r="G28" s="50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2"/>
    </row>
    <row r="29" spans="4:23" ht="21" customHeight="1" x14ac:dyDescent="0.3">
      <c r="G29" s="50" t="s">
        <v>40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2"/>
    </row>
    <row r="30" spans="4:23" ht="21" customHeight="1" x14ac:dyDescent="0.3">
      <c r="G30" s="50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2"/>
    </row>
    <row r="31" spans="4:23" ht="21" customHeight="1" x14ac:dyDescent="0.3">
      <c r="G31" s="50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2"/>
    </row>
    <row r="32" spans="4:23" ht="21" customHeight="1" x14ac:dyDescent="0.3">
      <c r="G32" s="50" t="s">
        <v>41</v>
      </c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2"/>
    </row>
    <row r="33" spans="7:23" ht="21" customHeight="1" x14ac:dyDescent="0.3">
      <c r="G33" s="50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2"/>
    </row>
    <row r="34" spans="7:23" ht="21" customHeight="1" thickBot="1" x14ac:dyDescent="0.35">
      <c r="G34" s="53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5"/>
    </row>
  </sheetData>
  <mergeCells count="5">
    <mergeCell ref="G29:W31"/>
    <mergeCell ref="G32:W34"/>
    <mergeCell ref="G2:W8"/>
    <mergeCell ref="G23:W25"/>
    <mergeCell ref="G26:W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CB8D-6724-49A6-BB71-9C596BE3C739}">
  <dimension ref="A1:AB54"/>
  <sheetViews>
    <sheetView showGridLines="0" topLeftCell="B26" zoomScale="70" zoomScaleNormal="70" workbookViewId="0">
      <selection activeCell="U14" sqref="U14"/>
    </sheetView>
  </sheetViews>
  <sheetFormatPr defaultRowHeight="14.4" x14ac:dyDescent="0.3"/>
  <cols>
    <col min="1" max="1" width="3.88671875" customWidth="1"/>
    <col min="2" max="2" width="14.77734375" style="40" customWidth="1"/>
    <col min="3" max="8" width="14.77734375" customWidth="1"/>
    <col min="9" max="9" width="14.77734375" style="40" customWidth="1"/>
    <col min="10" max="15" width="14.77734375" customWidth="1"/>
    <col min="16" max="16" width="14.77734375" style="40" customWidth="1"/>
    <col min="27" max="27" width="27.21875" customWidth="1"/>
    <col min="28" max="28" width="30.88671875" customWidth="1"/>
  </cols>
  <sheetData>
    <row r="1" spans="1:28" ht="31.2" customHeight="1" x14ac:dyDescent="0.3">
      <c r="A1" s="21"/>
      <c r="B1" s="41"/>
      <c r="C1" s="22"/>
      <c r="D1" s="22"/>
      <c r="E1" s="22"/>
      <c r="F1" s="22"/>
      <c r="G1" s="22"/>
      <c r="H1" s="22"/>
      <c r="I1" s="41"/>
      <c r="J1" s="22"/>
      <c r="K1" s="22"/>
      <c r="L1" s="22"/>
      <c r="M1" s="22"/>
      <c r="AA1" s="33" t="s">
        <v>63</v>
      </c>
      <c r="AB1" s="33" t="s">
        <v>57</v>
      </c>
    </row>
    <row r="2" spans="1:28" ht="30.6" customHeight="1" x14ac:dyDescent="0.3">
      <c r="A2" s="23"/>
      <c r="B2" s="62" t="s">
        <v>55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AA2" s="32" t="s">
        <v>62</v>
      </c>
      <c r="AB2" s="32">
        <f>COUNTA(tblOEE[Machine])</f>
        <v>7</v>
      </c>
    </row>
    <row r="3" spans="1:28" ht="22.05" customHeight="1" x14ac:dyDescent="0.3">
      <c r="A3" s="23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AA3" s="32" t="s">
        <v>58</v>
      </c>
      <c r="AB3" s="36">
        <f>AVERAGE(tblOEE[OEE (%)])</f>
        <v>0.7204421768707483</v>
      </c>
    </row>
    <row r="4" spans="1:28" ht="22.05" customHeight="1" x14ac:dyDescent="0.3">
      <c r="A4" s="23"/>
      <c r="B4" s="42" t="s">
        <v>56</v>
      </c>
      <c r="C4" s="43">
        <v>46202</v>
      </c>
      <c r="AA4" s="32" t="s">
        <v>59</v>
      </c>
      <c r="AB4" s="34">
        <f>SUM(tblEnergy[Total Load (kW)])</f>
        <v>154.4495733</v>
      </c>
    </row>
    <row r="5" spans="1:28" ht="22.05" customHeight="1" x14ac:dyDescent="0.3">
      <c r="A5" s="23"/>
      <c r="H5" s="40"/>
      <c r="AA5" s="32" t="s">
        <v>60</v>
      </c>
      <c r="AB5" s="34">
        <f>SUM(tblEnergy[Energy (kWh)])</f>
        <v>1235.5965864</v>
      </c>
    </row>
    <row r="6" spans="1:28" ht="22.05" customHeight="1" x14ac:dyDescent="0.3">
      <c r="A6" s="23"/>
      <c r="AA6" s="32" t="s">
        <v>61</v>
      </c>
      <c r="AB6" s="35">
        <f>SUM(tblEnergy[Cost (Rs/day)])</f>
        <v>98847.726911999984</v>
      </c>
    </row>
    <row r="7" spans="1:28" ht="22.05" customHeight="1" x14ac:dyDescent="0.3">
      <c r="A7" s="23"/>
    </row>
    <row r="8" spans="1:28" ht="22.05" customHeight="1" x14ac:dyDescent="0.3">
      <c r="A8" s="23"/>
    </row>
    <row r="9" spans="1:28" ht="22.05" customHeight="1" x14ac:dyDescent="0.3">
      <c r="A9" s="23"/>
    </row>
    <row r="10" spans="1:28" ht="22.05" customHeight="1" x14ac:dyDescent="0.3">
      <c r="A10" s="23"/>
    </row>
    <row r="11" spans="1:28" s="40" customFormat="1" ht="22.05" customHeight="1" x14ac:dyDescent="0.3">
      <c r="A11" s="39"/>
    </row>
    <row r="12" spans="1:28" ht="22.05" customHeight="1" x14ac:dyDescent="0.3">
      <c r="A12" s="23"/>
    </row>
    <row r="13" spans="1:28" ht="22.05" customHeight="1" x14ac:dyDescent="0.3">
      <c r="A13" s="23"/>
    </row>
    <row r="14" spans="1:28" ht="22.05" customHeight="1" x14ac:dyDescent="0.3">
      <c r="A14" s="23"/>
    </row>
    <row r="15" spans="1:28" ht="22.05" customHeight="1" x14ac:dyDescent="0.3">
      <c r="A15" s="23"/>
    </row>
    <row r="16" spans="1:28" ht="22.05" customHeight="1" x14ac:dyDescent="0.3">
      <c r="A16" s="23"/>
    </row>
    <row r="17" spans="1:1" ht="22.05" customHeight="1" x14ac:dyDescent="0.3">
      <c r="A17" s="23"/>
    </row>
    <row r="18" spans="1:1" ht="22.05" customHeight="1" x14ac:dyDescent="0.3">
      <c r="A18" s="23"/>
    </row>
    <row r="19" spans="1:1" ht="22.05" customHeight="1" x14ac:dyDescent="0.3">
      <c r="A19" s="23"/>
    </row>
    <row r="20" spans="1:1" ht="22.05" customHeight="1" x14ac:dyDescent="0.3">
      <c r="A20" s="23"/>
    </row>
    <row r="21" spans="1:1" s="40" customFormat="1" ht="22.05" customHeight="1" x14ac:dyDescent="0.3">
      <c r="A21" s="39"/>
    </row>
    <row r="22" spans="1:1" ht="22.05" customHeight="1" x14ac:dyDescent="0.3">
      <c r="A22" s="23"/>
    </row>
    <row r="23" spans="1:1" ht="22.05" customHeight="1" x14ac:dyDescent="0.3">
      <c r="A23" s="23"/>
    </row>
    <row r="24" spans="1:1" ht="22.05" customHeight="1" x14ac:dyDescent="0.3">
      <c r="A24" s="23"/>
    </row>
    <row r="25" spans="1:1" ht="22.05" customHeight="1" x14ac:dyDescent="0.3">
      <c r="A25" s="23"/>
    </row>
    <row r="26" spans="1:1" ht="21.6" customHeight="1" x14ac:dyDescent="0.3">
      <c r="A26" s="23"/>
    </row>
    <row r="27" spans="1:1" ht="22.05" customHeight="1" x14ac:dyDescent="0.3">
      <c r="A27" s="23"/>
    </row>
    <row r="28" spans="1:1" ht="22.05" customHeight="1" x14ac:dyDescent="0.3">
      <c r="A28" s="23"/>
    </row>
    <row r="29" spans="1:1" ht="22.05" customHeight="1" x14ac:dyDescent="0.3">
      <c r="A29" s="23"/>
    </row>
    <row r="30" spans="1:1" ht="22.05" customHeight="1" x14ac:dyDescent="0.3"/>
    <row r="31" spans="1:1" ht="22.05" customHeight="1" x14ac:dyDescent="0.3"/>
    <row r="32" spans="1:1" ht="22.05" customHeight="1" x14ac:dyDescent="0.3"/>
    <row r="33" ht="22.05" customHeight="1" x14ac:dyDescent="0.3"/>
    <row r="34" ht="22.05" customHeight="1" x14ac:dyDescent="0.3"/>
    <row r="35" ht="22.05" customHeight="1" x14ac:dyDescent="0.3"/>
    <row r="36" ht="22.05" customHeight="1" x14ac:dyDescent="0.3"/>
    <row r="37" ht="22.05" customHeight="1" x14ac:dyDescent="0.3"/>
    <row r="38" ht="22.05" customHeight="1" x14ac:dyDescent="0.3"/>
    <row r="39" ht="22.05" customHeight="1" x14ac:dyDescent="0.3"/>
    <row r="40" ht="22.05" customHeight="1" x14ac:dyDescent="0.3"/>
    <row r="41" ht="22.05" customHeight="1" x14ac:dyDescent="0.3"/>
    <row r="42" ht="22.05" customHeight="1" x14ac:dyDescent="0.3"/>
    <row r="43" ht="22.05" customHeight="1" x14ac:dyDescent="0.3"/>
    <row r="44" ht="22.05" customHeight="1" x14ac:dyDescent="0.3"/>
    <row r="45" ht="22.05" customHeight="1" x14ac:dyDescent="0.3"/>
    <row r="46" ht="22.05" customHeight="1" x14ac:dyDescent="0.3"/>
    <row r="47" ht="22.05" customHeight="1" x14ac:dyDescent="0.3"/>
    <row r="48" ht="22.05" customHeight="1" x14ac:dyDescent="0.3"/>
    <row r="49" ht="22.05" customHeight="1" x14ac:dyDescent="0.3"/>
    <row r="50" ht="22.05" customHeight="1" x14ac:dyDescent="0.3"/>
    <row r="51" ht="22.05" customHeight="1" x14ac:dyDescent="0.3"/>
    <row r="52" s="40" customFormat="1" ht="22.05" customHeight="1" x14ac:dyDescent="0.3"/>
    <row r="53" ht="22.05" customHeight="1" x14ac:dyDescent="0.3"/>
    <row r="54" ht="22.05" customHeight="1" x14ac:dyDescent="0.3"/>
  </sheetData>
  <mergeCells count="1">
    <mergeCell ref="B2:Q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6FA4-20B8-447A-91C2-E946023A2D78}">
  <dimension ref="A1:AD33"/>
  <sheetViews>
    <sheetView zoomScale="56" workbookViewId="0">
      <selection activeCell="C26" sqref="C26:F27"/>
    </sheetView>
  </sheetViews>
  <sheetFormatPr defaultRowHeight="14.4" x14ac:dyDescent="0.3"/>
  <cols>
    <col min="2" max="2" width="30" customWidth="1"/>
    <col min="3" max="3" width="14.33203125" customWidth="1"/>
    <col min="6" max="6" width="12.5546875" customWidth="1"/>
    <col min="7" max="7" width="14.33203125" customWidth="1"/>
    <col min="10" max="10" width="14.77734375" customWidth="1"/>
    <col min="11" max="11" width="15.77734375" customWidth="1"/>
    <col min="14" max="14" width="14.109375" customWidth="1"/>
    <col min="15" max="15" width="12.77734375" customWidth="1"/>
    <col min="18" max="18" width="14.33203125" customWidth="1"/>
    <col min="19" max="19" width="11.88671875" customWidth="1"/>
    <col min="23" max="23" width="12.109375" customWidth="1"/>
    <col min="26" max="26" width="17.77734375" customWidth="1"/>
    <col min="30" max="30" width="17.77734375" customWidth="1"/>
  </cols>
  <sheetData>
    <row r="1" spans="1:30" ht="14.4" customHeight="1" x14ac:dyDescent="0.3">
      <c r="A1" s="71" t="s">
        <v>35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3"/>
    </row>
    <row r="2" spans="1:30" ht="14.4" customHeight="1" x14ac:dyDescent="0.3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6"/>
    </row>
    <row r="3" spans="1:30" ht="14.4" customHeight="1" x14ac:dyDescent="0.3">
      <c r="A3" s="74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6"/>
    </row>
    <row r="4" spans="1:30" ht="14.4" customHeight="1" x14ac:dyDescent="0.3">
      <c r="A4" s="74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6"/>
    </row>
    <row r="5" spans="1:30" ht="14.4" customHeight="1" x14ac:dyDescent="0.3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6"/>
    </row>
    <row r="6" spans="1:30" ht="14.4" customHeight="1" x14ac:dyDescent="0.3">
      <c r="A6" s="74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6"/>
    </row>
    <row r="7" spans="1:30" ht="14.4" customHeight="1" x14ac:dyDescent="0.3">
      <c r="A7" s="74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6"/>
    </row>
    <row r="8" spans="1:30" ht="45" customHeight="1" thickBot="1" x14ac:dyDescent="0.35">
      <c r="A8" s="77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9"/>
    </row>
    <row r="9" spans="1:30" ht="66.599999999999994" customHeight="1" x14ac:dyDescent="0.3">
      <c r="A9" s="80" t="s">
        <v>0</v>
      </c>
      <c r="B9" s="105"/>
      <c r="C9" s="80" t="s">
        <v>1</v>
      </c>
      <c r="D9" s="81"/>
      <c r="E9" s="81"/>
      <c r="F9" s="82"/>
      <c r="G9" s="80" t="s">
        <v>14</v>
      </c>
      <c r="H9" s="81"/>
      <c r="I9" s="81"/>
      <c r="J9" s="82"/>
      <c r="K9" s="80" t="s">
        <v>15</v>
      </c>
      <c r="L9" s="81"/>
      <c r="M9" s="81"/>
      <c r="N9" s="82"/>
      <c r="O9" s="80" t="s">
        <v>16</v>
      </c>
      <c r="P9" s="81"/>
      <c r="Q9" s="81"/>
      <c r="R9" s="82"/>
      <c r="S9" s="80" t="s">
        <v>17</v>
      </c>
      <c r="T9" s="81"/>
      <c r="U9" s="81"/>
      <c r="V9" s="82"/>
      <c r="W9" s="80" t="s">
        <v>18</v>
      </c>
      <c r="X9" s="81"/>
      <c r="Y9" s="81"/>
      <c r="Z9" s="82"/>
      <c r="AA9" s="80" t="s">
        <v>19</v>
      </c>
      <c r="AB9" s="81"/>
      <c r="AC9" s="81"/>
      <c r="AD9" s="82"/>
    </row>
    <row r="10" spans="1:30" ht="14.4" customHeight="1" x14ac:dyDescent="0.3">
      <c r="A10" s="106" t="s">
        <v>3</v>
      </c>
      <c r="B10" s="106"/>
      <c r="C10" s="83">
        <v>480</v>
      </c>
      <c r="D10" s="85" t="s">
        <v>37</v>
      </c>
      <c r="E10" s="86"/>
      <c r="F10" s="87"/>
      <c r="G10" s="83">
        <v>480</v>
      </c>
      <c r="H10" s="85" t="s">
        <v>37</v>
      </c>
      <c r="I10" s="86"/>
      <c r="J10" s="87"/>
      <c r="K10" s="83">
        <v>480</v>
      </c>
      <c r="L10" s="85" t="s">
        <v>37</v>
      </c>
      <c r="M10" s="86"/>
      <c r="N10" s="87"/>
      <c r="O10" s="83">
        <v>480</v>
      </c>
      <c r="P10" s="85" t="s">
        <v>37</v>
      </c>
      <c r="Q10" s="86"/>
      <c r="R10" s="87"/>
      <c r="S10" s="83">
        <v>480</v>
      </c>
      <c r="T10" s="85" t="s">
        <v>37</v>
      </c>
      <c r="U10" s="86"/>
      <c r="V10" s="87"/>
      <c r="W10" s="83">
        <v>480</v>
      </c>
      <c r="X10" s="85" t="s">
        <v>37</v>
      </c>
      <c r="Y10" s="86"/>
      <c r="Z10" s="87"/>
      <c r="AA10" s="83">
        <v>480</v>
      </c>
      <c r="AB10" s="85" t="s">
        <v>37</v>
      </c>
      <c r="AC10" s="86"/>
      <c r="AD10" s="87"/>
    </row>
    <row r="11" spans="1:30" ht="19.8" customHeight="1" x14ac:dyDescent="0.3">
      <c r="A11" s="107"/>
      <c r="B11" s="107"/>
      <c r="C11" s="84"/>
      <c r="D11" s="88"/>
      <c r="E11" s="89"/>
      <c r="F11" s="90"/>
      <c r="G11" s="84"/>
      <c r="H11" s="88"/>
      <c r="I11" s="89"/>
      <c r="J11" s="90"/>
      <c r="K11" s="84"/>
      <c r="L11" s="88"/>
      <c r="M11" s="89"/>
      <c r="N11" s="90"/>
      <c r="O11" s="84"/>
      <c r="P11" s="88"/>
      <c r="Q11" s="89"/>
      <c r="R11" s="90"/>
      <c r="S11" s="84"/>
      <c r="T11" s="88"/>
      <c r="U11" s="89"/>
      <c r="V11" s="90"/>
      <c r="W11" s="84"/>
      <c r="X11" s="88"/>
      <c r="Y11" s="89"/>
      <c r="Z11" s="90"/>
      <c r="AA11" s="84"/>
      <c r="AB11" s="88"/>
      <c r="AC11" s="89"/>
      <c r="AD11" s="90"/>
    </row>
    <row r="12" spans="1:30" ht="14.4" customHeight="1" x14ac:dyDescent="0.3">
      <c r="A12" s="107" t="s">
        <v>4</v>
      </c>
      <c r="B12" s="107"/>
      <c r="C12" s="63">
        <v>60</v>
      </c>
      <c r="D12" s="88"/>
      <c r="E12" s="89"/>
      <c r="F12" s="90"/>
      <c r="G12" s="63">
        <v>60</v>
      </c>
      <c r="H12" s="88"/>
      <c r="I12" s="89"/>
      <c r="J12" s="90"/>
      <c r="K12" s="63">
        <v>60</v>
      </c>
      <c r="L12" s="88"/>
      <c r="M12" s="89"/>
      <c r="N12" s="90"/>
      <c r="O12" s="63">
        <v>60</v>
      </c>
      <c r="P12" s="88"/>
      <c r="Q12" s="89"/>
      <c r="R12" s="90"/>
      <c r="S12" s="63">
        <v>60</v>
      </c>
      <c r="T12" s="88"/>
      <c r="U12" s="89"/>
      <c r="V12" s="90"/>
      <c r="W12" s="63">
        <v>60</v>
      </c>
      <c r="X12" s="88"/>
      <c r="Y12" s="89"/>
      <c r="Z12" s="90"/>
      <c r="AA12" s="63">
        <v>120</v>
      </c>
      <c r="AB12" s="88"/>
      <c r="AC12" s="89"/>
      <c r="AD12" s="90"/>
    </row>
    <row r="13" spans="1:30" ht="25.8" customHeight="1" x14ac:dyDescent="0.3">
      <c r="A13" s="107"/>
      <c r="B13" s="107"/>
      <c r="C13" s="63"/>
      <c r="D13" s="88"/>
      <c r="E13" s="89"/>
      <c r="F13" s="90"/>
      <c r="G13" s="63"/>
      <c r="H13" s="88"/>
      <c r="I13" s="89"/>
      <c r="J13" s="90"/>
      <c r="K13" s="63"/>
      <c r="L13" s="88"/>
      <c r="M13" s="89"/>
      <c r="N13" s="90"/>
      <c r="O13" s="63"/>
      <c r="P13" s="88"/>
      <c r="Q13" s="89"/>
      <c r="R13" s="90"/>
      <c r="S13" s="63"/>
      <c r="T13" s="88"/>
      <c r="U13" s="89"/>
      <c r="V13" s="90"/>
      <c r="W13" s="63"/>
      <c r="X13" s="88"/>
      <c r="Y13" s="89"/>
      <c r="Z13" s="90"/>
      <c r="AA13" s="63"/>
      <c r="AB13" s="88"/>
      <c r="AC13" s="89"/>
      <c r="AD13" s="90"/>
    </row>
    <row r="14" spans="1:30" ht="14.4" customHeight="1" x14ac:dyDescent="0.3">
      <c r="A14" s="107" t="s">
        <v>5</v>
      </c>
      <c r="B14" s="107"/>
      <c r="C14" s="63">
        <f>C10-C12</f>
        <v>420</v>
      </c>
      <c r="D14" s="91"/>
      <c r="E14" s="92"/>
      <c r="F14" s="93"/>
      <c r="G14" s="63">
        <f>G10-G12</f>
        <v>420</v>
      </c>
      <c r="H14" s="91"/>
      <c r="I14" s="92"/>
      <c r="J14" s="93"/>
      <c r="K14" s="63">
        <f>K10-K12</f>
        <v>420</v>
      </c>
      <c r="L14" s="91"/>
      <c r="M14" s="92"/>
      <c r="N14" s="93"/>
      <c r="O14" s="63">
        <f>O10-O12</f>
        <v>420</v>
      </c>
      <c r="P14" s="91"/>
      <c r="Q14" s="92"/>
      <c r="R14" s="93"/>
      <c r="S14" s="63">
        <f>S10-S12</f>
        <v>420</v>
      </c>
      <c r="T14" s="91"/>
      <c r="U14" s="92"/>
      <c r="V14" s="93"/>
      <c r="W14" s="63">
        <f>W10-W12</f>
        <v>420</v>
      </c>
      <c r="X14" s="91"/>
      <c r="Y14" s="92"/>
      <c r="Z14" s="93"/>
      <c r="AA14" s="63">
        <f>AA10-AA12</f>
        <v>360</v>
      </c>
      <c r="AB14" s="91"/>
      <c r="AC14" s="92"/>
      <c r="AD14" s="93"/>
    </row>
    <row r="15" spans="1:30" ht="31.8" customHeight="1" x14ac:dyDescent="0.3">
      <c r="A15" s="107"/>
      <c r="B15" s="107"/>
      <c r="C15" s="63"/>
      <c r="D15" s="108">
        <f>((C14-C16)/C14)</f>
        <v>0.91666666666666663</v>
      </c>
      <c r="E15" s="109"/>
      <c r="F15" s="110"/>
      <c r="G15" s="63"/>
      <c r="H15" s="94">
        <f>((G14-G16)/G14)</f>
        <v>0.95238095238095233</v>
      </c>
      <c r="I15" s="95"/>
      <c r="J15" s="96"/>
      <c r="K15" s="63"/>
      <c r="L15" s="94">
        <f>((K14-K16)/K14)</f>
        <v>0.94047619047619047</v>
      </c>
      <c r="M15" s="95"/>
      <c r="N15" s="96"/>
      <c r="O15" s="63"/>
      <c r="P15" s="94">
        <f>((O14-O16)/O14)</f>
        <v>0.86904761904761907</v>
      </c>
      <c r="Q15" s="95"/>
      <c r="R15" s="96"/>
      <c r="S15" s="63"/>
      <c r="T15" s="94">
        <f>((S14-S16)/S14)</f>
        <v>0.9642857142857143</v>
      </c>
      <c r="U15" s="95"/>
      <c r="V15" s="96"/>
      <c r="W15" s="63"/>
      <c r="X15" s="94">
        <f>((W14-W16)/W14)</f>
        <v>0.9285714285714286</v>
      </c>
      <c r="Y15" s="95"/>
      <c r="Z15" s="96"/>
      <c r="AA15" s="63"/>
      <c r="AB15" s="94">
        <f>((AA14-AA16)/AA14)</f>
        <v>0.83333333333333337</v>
      </c>
      <c r="AC15" s="95"/>
      <c r="AD15" s="96"/>
    </row>
    <row r="16" spans="1:30" ht="14.4" customHeight="1" x14ac:dyDescent="0.3">
      <c r="A16" s="107" t="s">
        <v>6</v>
      </c>
      <c r="B16" s="107"/>
      <c r="C16" s="63">
        <v>35</v>
      </c>
      <c r="D16" s="111"/>
      <c r="E16" s="112"/>
      <c r="F16" s="113"/>
      <c r="G16" s="63">
        <v>20</v>
      </c>
      <c r="H16" s="97"/>
      <c r="I16" s="98"/>
      <c r="J16" s="99"/>
      <c r="K16" s="63">
        <v>25</v>
      </c>
      <c r="L16" s="97"/>
      <c r="M16" s="98"/>
      <c r="N16" s="99"/>
      <c r="O16" s="63">
        <v>55</v>
      </c>
      <c r="P16" s="97"/>
      <c r="Q16" s="98"/>
      <c r="R16" s="99"/>
      <c r="S16" s="63">
        <v>15</v>
      </c>
      <c r="T16" s="97"/>
      <c r="U16" s="98"/>
      <c r="V16" s="99"/>
      <c r="W16" s="63">
        <v>30</v>
      </c>
      <c r="X16" s="97"/>
      <c r="Y16" s="98"/>
      <c r="Z16" s="99"/>
      <c r="AA16" s="63">
        <v>60</v>
      </c>
      <c r="AB16" s="97"/>
      <c r="AC16" s="98"/>
      <c r="AD16" s="99"/>
    </row>
    <row r="17" spans="1:30" ht="26.4" customHeight="1" x14ac:dyDescent="0.3">
      <c r="A17" s="107"/>
      <c r="B17" s="107"/>
      <c r="C17" s="63"/>
      <c r="D17" s="114"/>
      <c r="E17" s="115"/>
      <c r="F17" s="116"/>
      <c r="G17" s="63"/>
      <c r="H17" s="100"/>
      <c r="I17" s="101"/>
      <c r="J17" s="102"/>
      <c r="K17" s="63"/>
      <c r="L17" s="100"/>
      <c r="M17" s="101"/>
      <c r="N17" s="102"/>
      <c r="O17" s="63"/>
      <c r="P17" s="100"/>
      <c r="Q17" s="101"/>
      <c r="R17" s="102"/>
      <c r="S17" s="63"/>
      <c r="T17" s="100"/>
      <c r="U17" s="101"/>
      <c r="V17" s="102"/>
      <c r="W17" s="63"/>
      <c r="X17" s="100"/>
      <c r="Y17" s="101"/>
      <c r="Z17" s="102"/>
      <c r="AA17" s="63"/>
      <c r="AB17" s="100"/>
      <c r="AC17" s="101"/>
      <c r="AD17" s="102"/>
    </row>
    <row r="18" spans="1:30" ht="27" customHeight="1" x14ac:dyDescent="0.3">
      <c r="A18" s="107" t="s">
        <v>7</v>
      </c>
      <c r="B18" s="107"/>
      <c r="C18" s="63">
        <f>C14-C16</f>
        <v>385</v>
      </c>
      <c r="D18" s="103" t="s">
        <v>11</v>
      </c>
      <c r="E18" s="86"/>
      <c r="F18" s="87"/>
      <c r="G18" s="63">
        <f>G14-G16</f>
        <v>400</v>
      </c>
      <c r="H18" s="103" t="s">
        <v>11</v>
      </c>
      <c r="I18" s="86"/>
      <c r="J18" s="87"/>
      <c r="K18" s="63">
        <f>K14-K16</f>
        <v>395</v>
      </c>
      <c r="L18" s="103" t="s">
        <v>11</v>
      </c>
      <c r="M18" s="86"/>
      <c r="N18" s="87"/>
      <c r="O18" s="63">
        <f>O14-O16</f>
        <v>365</v>
      </c>
      <c r="P18" s="103" t="s">
        <v>11</v>
      </c>
      <c r="Q18" s="86"/>
      <c r="R18" s="87"/>
      <c r="S18" s="63">
        <f>S14-S16</f>
        <v>405</v>
      </c>
      <c r="T18" s="103" t="s">
        <v>11</v>
      </c>
      <c r="U18" s="86"/>
      <c r="V18" s="87"/>
      <c r="W18" s="63">
        <f>W14-W16</f>
        <v>390</v>
      </c>
      <c r="X18" s="103" t="s">
        <v>11</v>
      </c>
      <c r="Y18" s="86"/>
      <c r="Z18" s="87"/>
      <c r="AA18" s="63">
        <f>AA14-AA16</f>
        <v>300</v>
      </c>
      <c r="AB18" s="103" t="s">
        <v>11</v>
      </c>
      <c r="AC18" s="86"/>
      <c r="AD18" s="87"/>
    </row>
    <row r="19" spans="1:30" ht="21" customHeight="1" x14ac:dyDescent="0.3">
      <c r="A19" s="107"/>
      <c r="B19" s="107"/>
      <c r="C19" s="63"/>
      <c r="D19" s="88"/>
      <c r="E19" s="89"/>
      <c r="F19" s="90"/>
      <c r="G19" s="63"/>
      <c r="H19" s="88"/>
      <c r="I19" s="89"/>
      <c r="J19" s="90"/>
      <c r="K19" s="63"/>
      <c r="L19" s="88"/>
      <c r="M19" s="89"/>
      <c r="N19" s="90"/>
      <c r="O19" s="63"/>
      <c r="P19" s="88"/>
      <c r="Q19" s="89"/>
      <c r="R19" s="90"/>
      <c r="S19" s="63"/>
      <c r="T19" s="88"/>
      <c r="U19" s="89"/>
      <c r="V19" s="90"/>
      <c r="W19" s="63"/>
      <c r="X19" s="88"/>
      <c r="Y19" s="89"/>
      <c r="Z19" s="90"/>
      <c r="AA19" s="63"/>
      <c r="AB19" s="88"/>
      <c r="AC19" s="89"/>
      <c r="AD19" s="90"/>
    </row>
    <row r="20" spans="1:30" ht="14.4" customHeight="1" x14ac:dyDescent="0.3">
      <c r="A20" s="107" t="s">
        <v>8</v>
      </c>
      <c r="B20" s="107"/>
      <c r="C20" s="63">
        <v>22</v>
      </c>
      <c r="D20" s="91"/>
      <c r="E20" s="92"/>
      <c r="F20" s="93"/>
      <c r="G20" s="63">
        <v>25</v>
      </c>
      <c r="H20" s="91"/>
      <c r="I20" s="92"/>
      <c r="J20" s="93"/>
      <c r="K20" s="63">
        <v>4</v>
      </c>
      <c r="L20" s="91"/>
      <c r="M20" s="92"/>
      <c r="N20" s="93"/>
      <c r="O20" s="63">
        <v>3</v>
      </c>
      <c r="P20" s="91"/>
      <c r="Q20" s="92"/>
      <c r="R20" s="93"/>
      <c r="S20" s="63">
        <v>20</v>
      </c>
      <c r="T20" s="91"/>
      <c r="U20" s="92"/>
      <c r="V20" s="93"/>
      <c r="W20" s="63">
        <v>0.46800000000000003</v>
      </c>
      <c r="X20" s="91"/>
      <c r="Y20" s="92"/>
      <c r="Z20" s="93"/>
      <c r="AA20" s="63">
        <v>21</v>
      </c>
      <c r="AB20" s="91"/>
      <c r="AC20" s="92"/>
      <c r="AD20" s="93"/>
    </row>
    <row r="21" spans="1:30" ht="25.2" customHeight="1" x14ac:dyDescent="0.3">
      <c r="A21" s="107"/>
      <c r="B21" s="107"/>
      <c r="C21" s="63"/>
      <c r="D21" s="108">
        <f>((C20*C22)/C18)</f>
        <v>0.91428571428571426</v>
      </c>
      <c r="E21" s="109"/>
      <c r="F21" s="110"/>
      <c r="G21" s="63"/>
      <c r="H21" s="94">
        <f>((G20*G22)/G18)</f>
        <v>0.9375</v>
      </c>
      <c r="I21" s="95"/>
      <c r="J21" s="96"/>
      <c r="K21" s="63"/>
      <c r="L21" s="94">
        <f>((K20*K22)/K18)</f>
        <v>0.70886075949367089</v>
      </c>
      <c r="M21" s="95"/>
      <c r="N21" s="96"/>
      <c r="O21" s="63"/>
      <c r="P21" s="94">
        <f>((O20*O22)/O18)</f>
        <v>0.82191780821917804</v>
      </c>
      <c r="Q21" s="95"/>
      <c r="R21" s="96"/>
      <c r="S21" s="63"/>
      <c r="T21" s="94">
        <f>((S20*S22)/S18)</f>
        <v>0.79012345679012341</v>
      </c>
      <c r="U21" s="95"/>
      <c r="V21" s="96"/>
      <c r="W21" s="63"/>
      <c r="X21" s="94">
        <f>((W20*W22)/W18)</f>
        <v>0.8640000000000001</v>
      </c>
      <c r="Y21" s="95"/>
      <c r="Z21" s="96"/>
      <c r="AA21" s="63"/>
      <c r="AB21" s="94">
        <f>((AA20*AA22)/AA18)</f>
        <v>0.84</v>
      </c>
      <c r="AC21" s="95"/>
      <c r="AD21" s="96"/>
    </row>
    <row r="22" spans="1:30" ht="14.4" customHeight="1" x14ac:dyDescent="0.3">
      <c r="A22" s="107" t="s">
        <v>9</v>
      </c>
      <c r="B22" s="107"/>
      <c r="C22" s="63">
        <v>16</v>
      </c>
      <c r="D22" s="111"/>
      <c r="E22" s="112"/>
      <c r="F22" s="113"/>
      <c r="G22" s="63">
        <v>15</v>
      </c>
      <c r="H22" s="97"/>
      <c r="I22" s="98"/>
      <c r="J22" s="99"/>
      <c r="K22" s="63">
        <v>70</v>
      </c>
      <c r="L22" s="97"/>
      <c r="M22" s="98"/>
      <c r="N22" s="99"/>
      <c r="O22" s="63">
        <v>100</v>
      </c>
      <c r="P22" s="97"/>
      <c r="Q22" s="98"/>
      <c r="R22" s="99"/>
      <c r="S22" s="63">
        <v>16</v>
      </c>
      <c r="T22" s="97"/>
      <c r="U22" s="98"/>
      <c r="V22" s="99"/>
      <c r="W22" s="63">
        <v>720</v>
      </c>
      <c r="X22" s="97"/>
      <c r="Y22" s="98"/>
      <c r="Z22" s="99"/>
      <c r="AA22" s="63">
        <v>12</v>
      </c>
      <c r="AB22" s="97"/>
      <c r="AC22" s="98"/>
      <c r="AD22" s="99"/>
    </row>
    <row r="23" spans="1:30" ht="25.2" customHeight="1" x14ac:dyDescent="0.3">
      <c r="A23" s="107"/>
      <c r="B23" s="107"/>
      <c r="C23" s="63"/>
      <c r="D23" s="114"/>
      <c r="E23" s="115"/>
      <c r="F23" s="116"/>
      <c r="G23" s="63"/>
      <c r="H23" s="100"/>
      <c r="I23" s="101"/>
      <c r="J23" s="102"/>
      <c r="K23" s="63"/>
      <c r="L23" s="100"/>
      <c r="M23" s="101"/>
      <c r="N23" s="102"/>
      <c r="O23" s="63"/>
      <c r="P23" s="100"/>
      <c r="Q23" s="101"/>
      <c r="R23" s="102"/>
      <c r="S23" s="63"/>
      <c r="T23" s="100"/>
      <c r="U23" s="101"/>
      <c r="V23" s="102"/>
      <c r="W23" s="63"/>
      <c r="X23" s="100"/>
      <c r="Y23" s="101"/>
      <c r="Z23" s="102"/>
      <c r="AA23" s="63"/>
      <c r="AB23" s="100"/>
      <c r="AC23" s="101"/>
      <c r="AD23" s="102"/>
    </row>
    <row r="24" spans="1:30" ht="27" customHeight="1" x14ac:dyDescent="0.3">
      <c r="A24" s="107" t="s">
        <v>10</v>
      </c>
      <c r="B24" s="107"/>
      <c r="C24" s="63">
        <v>2</v>
      </c>
      <c r="D24" s="64" t="s">
        <v>12</v>
      </c>
      <c r="E24" s="65"/>
      <c r="F24" s="66"/>
      <c r="G24" s="63">
        <v>1</v>
      </c>
      <c r="H24" s="64" t="s">
        <v>12</v>
      </c>
      <c r="I24" s="65"/>
      <c r="J24" s="66"/>
      <c r="K24" s="63">
        <v>2</v>
      </c>
      <c r="L24" s="64" t="s">
        <v>12</v>
      </c>
      <c r="M24" s="65"/>
      <c r="N24" s="66"/>
      <c r="O24" s="63">
        <v>3</v>
      </c>
      <c r="P24" s="64" t="s">
        <v>12</v>
      </c>
      <c r="Q24" s="65"/>
      <c r="R24" s="66"/>
      <c r="S24" s="63">
        <v>1</v>
      </c>
      <c r="T24" s="64" t="s">
        <v>12</v>
      </c>
      <c r="U24" s="65"/>
      <c r="V24" s="66"/>
      <c r="W24" s="63">
        <v>20</v>
      </c>
      <c r="X24" s="64" t="s">
        <v>12</v>
      </c>
      <c r="Y24" s="65"/>
      <c r="Z24" s="66"/>
      <c r="AA24" s="63">
        <v>1</v>
      </c>
      <c r="AB24" s="64" t="s">
        <v>12</v>
      </c>
      <c r="AC24" s="65"/>
      <c r="AD24" s="66"/>
    </row>
    <row r="25" spans="1:30" ht="39.6" customHeight="1" x14ac:dyDescent="0.3">
      <c r="A25" s="107"/>
      <c r="B25" s="107"/>
      <c r="C25" s="63"/>
      <c r="D25" s="67">
        <f>(C22-C24)/C22</f>
        <v>0.875</v>
      </c>
      <c r="E25" s="68"/>
      <c r="F25" s="69"/>
      <c r="G25" s="63"/>
      <c r="H25" s="67">
        <f>(G22-G24)/G22</f>
        <v>0.93333333333333335</v>
      </c>
      <c r="I25" s="68"/>
      <c r="J25" s="69"/>
      <c r="K25" s="63"/>
      <c r="L25" s="67">
        <f>(K22-K24)/K22</f>
        <v>0.97142857142857142</v>
      </c>
      <c r="M25" s="68"/>
      <c r="N25" s="69"/>
      <c r="O25" s="63"/>
      <c r="P25" s="67">
        <f>(O22-O24)/O22</f>
        <v>0.97</v>
      </c>
      <c r="Q25" s="68"/>
      <c r="R25" s="69"/>
      <c r="S25" s="63"/>
      <c r="T25" s="67">
        <f>(S22-S24)/S22</f>
        <v>0.9375</v>
      </c>
      <c r="U25" s="68"/>
      <c r="V25" s="69"/>
      <c r="W25" s="63"/>
      <c r="X25" s="67">
        <f>(W22-W24)/W22</f>
        <v>0.97222222222222221</v>
      </c>
      <c r="Y25" s="68"/>
      <c r="Z25" s="69"/>
      <c r="AA25" s="63"/>
      <c r="AB25" s="67">
        <f>(AA22-AA24)/AA22</f>
        <v>0.91666666666666663</v>
      </c>
      <c r="AC25" s="68"/>
      <c r="AD25" s="69"/>
    </row>
    <row r="26" spans="1:30" ht="14.4" customHeight="1" x14ac:dyDescent="0.3">
      <c r="A26" s="123" t="s">
        <v>13</v>
      </c>
      <c r="B26" s="124"/>
      <c r="C26" s="70">
        <f>D15*D21*D25</f>
        <v>0.73333333333333328</v>
      </c>
      <c r="D26" s="70"/>
      <c r="E26" s="70"/>
      <c r="F26" s="70"/>
      <c r="G26" s="70">
        <f>H15*H21*H25</f>
        <v>0.83333333333333326</v>
      </c>
      <c r="H26" s="70"/>
      <c r="I26" s="70"/>
      <c r="J26" s="70"/>
      <c r="K26" s="70">
        <f>L15*L21*L25</f>
        <v>0.64761904761904754</v>
      </c>
      <c r="L26" s="70"/>
      <c r="M26" s="70"/>
      <c r="N26" s="70"/>
      <c r="O26" s="70">
        <f>P15*P21*P25</f>
        <v>0.69285714285714284</v>
      </c>
      <c r="P26" s="70"/>
      <c r="Q26" s="70"/>
      <c r="R26" s="70"/>
      <c r="S26" s="70">
        <f>T15*T21*T25</f>
        <v>0.71428571428571419</v>
      </c>
      <c r="T26" s="70"/>
      <c r="U26" s="70"/>
      <c r="V26" s="70"/>
      <c r="W26" s="70">
        <f>X15*X21*X25</f>
        <v>0.78</v>
      </c>
      <c r="X26" s="70"/>
      <c r="Y26" s="70"/>
      <c r="Z26" s="70"/>
      <c r="AA26" s="70">
        <f>AB15*AB21*AB25</f>
        <v>0.64166666666666661</v>
      </c>
      <c r="AB26" s="70"/>
      <c r="AC26" s="70"/>
      <c r="AD26" s="70"/>
    </row>
    <row r="27" spans="1:30" ht="49.8" customHeight="1" thickBot="1" x14ac:dyDescent="0.35">
      <c r="A27" s="125"/>
      <c r="B27" s="125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</row>
    <row r="28" spans="1:30" ht="14.4" customHeight="1" x14ac:dyDescent="0.3">
      <c r="A28" s="117"/>
      <c r="B28" s="118"/>
      <c r="C28" s="118"/>
      <c r="D28" s="126"/>
      <c r="E28" s="127"/>
      <c r="F28" s="127"/>
      <c r="G28" s="127"/>
      <c r="H28" s="127"/>
      <c r="I28" s="128"/>
      <c r="J28" s="135"/>
      <c r="K28" s="136"/>
      <c r="L28" s="136"/>
      <c r="M28" s="136"/>
      <c r="N28" s="136"/>
      <c r="O28" s="136"/>
      <c r="P28" s="137"/>
    </row>
    <row r="29" spans="1:30" ht="14.4" customHeight="1" x14ac:dyDescent="0.3">
      <c r="A29" s="119"/>
      <c r="B29" s="120"/>
      <c r="C29" s="120"/>
      <c r="D29" s="129"/>
      <c r="E29" s="130"/>
      <c r="F29" s="130"/>
      <c r="G29" s="130"/>
      <c r="H29" s="130"/>
      <c r="I29" s="131"/>
      <c r="J29" s="138"/>
      <c r="K29" s="139"/>
      <c r="L29" s="139"/>
      <c r="M29" s="139"/>
      <c r="N29" s="139"/>
      <c r="O29" s="139"/>
      <c r="P29" s="140"/>
    </row>
    <row r="30" spans="1:30" ht="14.4" customHeight="1" x14ac:dyDescent="0.3">
      <c r="A30" s="119"/>
      <c r="B30" s="120"/>
      <c r="C30" s="120"/>
      <c r="D30" s="129"/>
      <c r="E30" s="130"/>
      <c r="F30" s="130"/>
      <c r="G30" s="130"/>
      <c r="H30" s="130"/>
      <c r="I30" s="131"/>
      <c r="J30" s="138"/>
      <c r="K30" s="139"/>
      <c r="L30" s="139"/>
      <c r="M30" s="139"/>
      <c r="N30" s="139"/>
      <c r="O30" s="139"/>
      <c r="P30" s="140"/>
    </row>
    <row r="31" spans="1:30" ht="14.4" customHeight="1" x14ac:dyDescent="0.3">
      <c r="A31" s="119"/>
      <c r="B31" s="120"/>
      <c r="C31" s="120"/>
      <c r="D31" s="129"/>
      <c r="E31" s="130"/>
      <c r="F31" s="130"/>
      <c r="G31" s="130"/>
      <c r="H31" s="130"/>
      <c r="I31" s="131"/>
      <c r="J31" s="138"/>
      <c r="K31" s="139"/>
      <c r="L31" s="139"/>
      <c r="M31" s="139"/>
      <c r="N31" s="139"/>
      <c r="O31" s="139"/>
      <c r="P31" s="140"/>
    </row>
    <row r="32" spans="1:30" ht="14.4" customHeight="1" x14ac:dyDescent="0.3">
      <c r="A32" s="119"/>
      <c r="B32" s="120"/>
      <c r="C32" s="120"/>
      <c r="D32" s="129"/>
      <c r="E32" s="130"/>
      <c r="F32" s="130"/>
      <c r="G32" s="130"/>
      <c r="H32" s="130"/>
      <c r="I32" s="131"/>
      <c r="J32" s="138"/>
      <c r="K32" s="139"/>
      <c r="L32" s="139"/>
      <c r="M32" s="139"/>
      <c r="N32" s="139"/>
      <c r="O32" s="139"/>
      <c r="P32" s="140"/>
    </row>
    <row r="33" spans="1:16" ht="14.4" customHeight="1" thickBot="1" x14ac:dyDescent="0.35">
      <c r="A33" s="121"/>
      <c r="B33" s="122"/>
      <c r="C33" s="122"/>
      <c r="D33" s="132"/>
      <c r="E33" s="133"/>
      <c r="F33" s="133"/>
      <c r="G33" s="133"/>
      <c r="H33" s="133"/>
      <c r="I33" s="134"/>
      <c r="J33" s="141"/>
      <c r="K33" s="142"/>
      <c r="L33" s="142"/>
      <c r="M33" s="142"/>
      <c r="N33" s="142"/>
      <c r="O33" s="142"/>
      <c r="P33" s="143"/>
    </row>
  </sheetData>
  <mergeCells count="126">
    <mergeCell ref="C10:C11"/>
    <mergeCell ref="A28:C33"/>
    <mergeCell ref="A26:B27"/>
    <mergeCell ref="C26:F27"/>
    <mergeCell ref="D28:I33"/>
    <mergeCell ref="D18:F20"/>
    <mergeCell ref="D21:F23"/>
    <mergeCell ref="D24:F24"/>
    <mergeCell ref="D25:F25"/>
    <mergeCell ref="K26:N27"/>
    <mergeCell ref="H25:J25"/>
    <mergeCell ref="G26:J27"/>
    <mergeCell ref="K18:K19"/>
    <mergeCell ref="L18:N20"/>
    <mergeCell ref="L21:N23"/>
    <mergeCell ref="L24:N24"/>
    <mergeCell ref="L25:N25"/>
    <mergeCell ref="J28:P33"/>
    <mergeCell ref="K24:K25"/>
    <mergeCell ref="K22:K23"/>
    <mergeCell ref="K20:K21"/>
    <mergeCell ref="A9:B9"/>
    <mergeCell ref="C9:F9"/>
    <mergeCell ref="G9:J9"/>
    <mergeCell ref="H21:J23"/>
    <mergeCell ref="H24:J24"/>
    <mergeCell ref="A10:B11"/>
    <mergeCell ref="A12:B13"/>
    <mergeCell ref="A14:B15"/>
    <mergeCell ref="D15:F17"/>
    <mergeCell ref="A24:B25"/>
    <mergeCell ref="C24:C25"/>
    <mergeCell ref="A18:B19"/>
    <mergeCell ref="A20:B21"/>
    <mergeCell ref="A22:B23"/>
    <mergeCell ref="C18:C19"/>
    <mergeCell ref="C20:C21"/>
    <mergeCell ref="C22:C23"/>
    <mergeCell ref="A16:B17"/>
    <mergeCell ref="C12:C13"/>
    <mergeCell ref="C14:C15"/>
    <mergeCell ref="C16:C17"/>
    <mergeCell ref="G20:G21"/>
    <mergeCell ref="G22:G23"/>
    <mergeCell ref="G24:G25"/>
    <mergeCell ref="G16:G17"/>
    <mergeCell ref="G18:G19"/>
    <mergeCell ref="H18:J20"/>
    <mergeCell ref="K10:K11"/>
    <mergeCell ref="L10:N14"/>
    <mergeCell ref="K12:K13"/>
    <mergeCell ref="K14:K15"/>
    <mergeCell ref="L15:N17"/>
    <mergeCell ref="K16:K17"/>
    <mergeCell ref="G14:G15"/>
    <mergeCell ref="H15:J17"/>
    <mergeCell ref="O9:R9"/>
    <mergeCell ref="O10:O11"/>
    <mergeCell ref="P10:R14"/>
    <mergeCell ref="G10:G11"/>
    <mergeCell ref="H10:J14"/>
    <mergeCell ref="G12:G13"/>
    <mergeCell ref="O12:O13"/>
    <mergeCell ref="O14:O15"/>
    <mergeCell ref="D10:F14"/>
    <mergeCell ref="K9:N9"/>
    <mergeCell ref="T15:V17"/>
    <mergeCell ref="S16:S17"/>
    <mergeCell ref="S18:S19"/>
    <mergeCell ref="T18:V20"/>
    <mergeCell ref="S20:S21"/>
    <mergeCell ref="T21:V23"/>
    <mergeCell ref="S22:S23"/>
    <mergeCell ref="O18:O19"/>
    <mergeCell ref="P18:R20"/>
    <mergeCell ref="O20:O21"/>
    <mergeCell ref="P21:R23"/>
    <mergeCell ref="O22:O23"/>
    <mergeCell ref="S26:V27"/>
    <mergeCell ref="P15:R17"/>
    <mergeCell ref="O16:O17"/>
    <mergeCell ref="W9:Z9"/>
    <mergeCell ref="W10:W11"/>
    <mergeCell ref="X10:Z14"/>
    <mergeCell ref="W12:W13"/>
    <mergeCell ref="W14:W15"/>
    <mergeCell ref="X15:Z17"/>
    <mergeCell ref="W16:W17"/>
    <mergeCell ref="W18:W19"/>
    <mergeCell ref="X18:Z20"/>
    <mergeCell ref="W20:W21"/>
    <mergeCell ref="X21:Z23"/>
    <mergeCell ref="W22:W23"/>
    <mergeCell ref="O24:O25"/>
    <mergeCell ref="P24:R24"/>
    <mergeCell ref="P25:R25"/>
    <mergeCell ref="O26:R27"/>
    <mergeCell ref="S9:V9"/>
    <mergeCell ref="S10:S11"/>
    <mergeCell ref="T10:V14"/>
    <mergeCell ref="S12:S13"/>
    <mergeCell ref="S14:S15"/>
    <mergeCell ref="AA24:AA25"/>
    <mergeCell ref="AB24:AD24"/>
    <mergeCell ref="AB25:AD25"/>
    <mergeCell ref="AA26:AD27"/>
    <mergeCell ref="A1:AD8"/>
    <mergeCell ref="W24:W25"/>
    <mergeCell ref="X24:Z24"/>
    <mergeCell ref="X25:Z25"/>
    <mergeCell ref="W26:Z27"/>
    <mergeCell ref="AA9:AD9"/>
    <mergeCell ref="AA10:AA11"/>
    <mergeCell ref="AB10:AD14"/>
    <mergeCell ref="AA12:AA13"/>
    <mergeCell ref="AA14:AA15"/>
    <mergeCell ref="AB15:AD17"/>
    <mergeCell ref="AA16:AA17"/>
    <mergeCell ref="AA18:AA19"/>
    <mergeCell ref="AB18:AD20"/>
    <mergeCell ref="AA20:AA21"/>
    <mergeCell ref="AB21:AD23"/>
    <mergeCell ref="AA22:AA23"/>
    <mergeCell ref="S24:S25"/>
    <mergeCell ref="T24:V24"/>
    <mergeCell ref="T25:V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51E8-45D6-4FD4-818D-D8042BD5AC90}">
  <dimension ref="A1:E15"/>
  <sheetViews>
    <sheetView zoomScale="97" workbookViewId="0">
      <selection sqref="A1:E7"/>
    </sheetView>
  </sheetViews>
  <sheetFormatPr defaultRowHeight="14.4" x14ac:dyDescent="0.3"/>
  <cols>
    <col min="1" max="1" width="27.109375" customWidth="1"/>
    <col min="2" max="2" width="27.88671875" customWidth="1"/>
    <col min="3" max="3" width="21.21875" customWidth="1"/>
    <col min="4" max="4" width="23.6640625" customWidth="1"/>
    <col min="5" max="5" width="21.6640625" customWidth="1"/>
  </cols>
  <sheetData>
    <row r="1" spans="1:5" x14ac:dyDescent="0.3">
      <c r="A1" s="150" t="s">
        <v>54</v>
      </c>
      <c r="B1" s="150"/>
      <c r="C1" s="150"/>
      <c r="D1" s="150"/>
      <c r="E1" s="150"/>
    </row>
    <row r="2" spans="1:5" x14ac:dyDescent="0.3">
      <c r="A2" s="150"/>
      <c r="B2" s="150"/>
      <c r="C2" s="150"/>
      <c r="D2" s="150"/>
      <c r="E2" s="150"/>
    </row>
    <row r="3" spans="1:5" x14ac:dyDescent="0.3">
      <c r="A3" s="150"/>
      <c r="B3" s="150"/>
      <c r="C3" s="150"/>
      <c r="D3" s="150"/>
      <c r="E3" s="150"/>
    </row>
    <row r="4" spans="1:5" x14ac:dyDescent="0.3">
      <c r="A4" s="150"/>
      <c r="B4" s="150"/>
      <c r="C4" s="150"/>
      <c r="D4" s="150"/>
      <c r="E4" s="150"/>
    </row>
    <row r="5" spans="1:5" x14ac:dyDescent="0.3">
      <c r="A5" s="150"/>
      <c r="B5" s="150"/>
      <c r="C5" s="150"/>
      <c r="D5" s="150"/>
      <c r="E5" s="150"/>
    </row>
    <row r="6" spans="1:5" x14ac:dyDescent="0.3">
      <c r="A6" s="150"/>
      <c r="B6" s="150"/>
      <c r="C6" s="150"/>
      <c r="D6" s="150"/>
      <c r="E6" s="150"/>
    </row>
    <row r="7" spans="1:5" x14ac:dyDescent="0.3">
      <c r="A7" s="150"/>
      <c r="B7" s="150"/>
      <c r="C7" s="150"/>
      <c r="D7" s="150"/>
      <c r="E7" s="150"/>
    </row>
    <row r="8" spans="1:5" ht="46.2" customHeight="1" x14ac:dyDescent="0.3">
      <c r="A8" s="15" t="s">
        <v>20</v>
      </c>
      <c r="B8" s="16" t="s">
        <v>50</v>
      </c>
      <c r="C8" s="16" t="s">
        <v>51</v>
      </c>
      <c r="D8" s="16" t="s">
        <v>52</v>
      </c>
      <c r="E8" s="17" t="s">
        <v>53</v>
      </c>
    </row>
    <row r="9" spans="1:5" ht="36" x14ac:dyDescent="0.3">
      <c r="A9" s="13" t="s">
        <v>1</v>
      </c>
      <c r="B9" s="12">
        <f>'OEE Data Calculation'!D15</f>
        <v>0.91666666666666663</v>
      </c>
      <c r="C9" s="12">
        <f>'OEE Data Calculation'!D21</f>
        <v>0.91428571428571426</v>
      </c>
      <c r="D9" s="12">
        <f>'OEE Data Calculation'!D25</f>
        <v>0.875</v>
      </c>
      <c r="E9" s="14">
        <f>'OEE Data Calculation'!C26</f>
        <v>0.73333333333333328</v>
      </c>
    </row>
    <row r="10" spans="1:5" ht="34.799999999999997" customHeight="1" x14ac:dyDescent="0.3">
      <c r="A10" s="13" t="s">
        <v>14</v>
      </c>
      <c r="B10" s="12">
        <f>'OEE Data Calculation'!H15</f>
        <v>0.95238095238095233</v>
      </c>
      <c r="C10" s="12">
        <f>'OEE Data Calculation'!H21</f>
        <v>0.9375</v>
      </c>
      <c r="D10" s="12">
        <f>'OEE Data Calculation'!H25</f>
        <v>0.93333333333333335</v>
      </c>
      <c r="E10" s="14">
        <f>'OEE Data Calculation'!G26</f>
        <v>0.83333333333333326</v>
      </c>
    </row>
    <row r="11" spans="1:5" ht="34.200000000000003" customHeight="1" x14ac:dyDescent="0.3">
      <c r="A11" s="13" t="s">
        <v>15</v>
      </c>
      <c r="B11" s="12">
        <f>'OEE Data Calculation'!L15</f>
        <v>0.94047619047619047</v>
      </c>
      <c r="C11" s="12">
        <f>'OEE Data Calculation'!L21</f>
        <v>0.70886075949367089</v>
      </c>
      <c r="D11" s="12">
        <f>'OEE Data Calculation'!L25</f>
        <v>0.97142857142857142</v>
      </c>
      <c r="E11" s="14">
        <f>'OEE Data Calculation'!K26</f>
        <v>0.64761904761904754</v>
      </c>
    </row>
    <row r="12" spans="1:5" ht="38.4" customHeight="1" x14ac:dyDescent="0.3">
      <c r="A12" s="13" t="s">
        <v>16</v>
      </c>
      <c r="B12" s="12">
        <f>'OEE Data Calculation'!P15</f>
        <v>0.86904761904761907</v>
      </c>
      <c r="C12" s="12">
        <f>'OEE Data Calculation'!P21</f>
        <v>0.82191780821917804</v>
      </c>
      <c r="D12" s="12">
        <f>'OEE Data Calculation'!P25</f>
        <v>0.97</v>
      </c>
      <c r="E12" s="14">
        <f>'OEE Data Calculation'!O26</f>
        <v>0.69285714285714284</v>
      </c>
    </row>
    <row r="13" spans="1:5" ht="37.200000000000003" customHeight="1" x14ac:dyDescent="0.3">
      <c r="A13" s="13" t="s">
        <v>17</v>
      </c>
      <c r="B13" s="12">
        <f>'OEE Data Calculation'!T15</f>
        <v>0.9642857142857143</v>
      </c>
      <c r="C13" s="12">
        <f>'OEE Data Calculation'!T21</f>
        <v>0.79012345679012341</v>
      </c>
      <c r="D13" s="12">
        <f>'OEE Data Calculation'!T25</f>
        <v>0.9375</v>
      </c>
      <c r="E13" s="14">
        <f>'OEE Data Calculation'!S26</f>
        <v>0.71428571428571419</v>
      </c>
    </row>
    <row r="14" spans="1:5" ht="36.6" customHeight="1" x14ac:dyDescent="0.3">
      <c r="A14" s="13" t="s">
        <v>18</v>
      </c>
      <c r="B14" s="12">
        <f>'OEE Data Calculation'!X15</f>
        <v>0.9285714285714286</v>
      </c>
      <c r="C14" s="12">
        <f>'OEE Data Calculation'!X21</f>
        <v>0.8640000000000001</v>
      </c>
      <c r="D14" s="12">
        <f>'OEE Data Calculation'!X25</f>
        <v>0.97222222222222221</v>
      </c>
      <c r="E14" s="14">
        <f>'OEE Data Calculation'!W26</f>
        <v>0.78</v>
      </c>
    </row>
    <row r="15" spans="1:5" ht="44.4" customHeight="1" x14ac:dyDescent="0.3">
      <c r="A15" s="18" t="s">
        <v>2</v>
      </c>
      <c r="B15" s="19">
        <f>'OEE Data Calculation'!AB15</f>
        <v>0.83333333333333337</v>
      </c>
      <c r="C15" s="19">
        <f>'OEE Data Calculation'!AB21</f>
        <v>0.84</v>
      </c>
      <c r="D15" s="19">
        <f>'OEE Data Calculation'!AB25</f>
        <v>0.91666666666666663</v>
      </c>
      <c r="E15" s="20">
        <f>'OEE Data Calculation'!AA26</f>
        <v>0.64166666666666661</v>
      </c>
    </row>
  </sheetData>
  <mergeCells count="1">
    <mergeCell ref="A1:E7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DE1AB-4DA2-4A53-830F-7037AAF15AFE}">
  <dimension ref="A1:W34"/>
  <sheetViews>
    <sheetView topLeftCell="A10" zoomScale="44" workbookViewId="0">
      <selection activeCell="H13" sqref="H13"/>
    </sheetView>
  </sheetViews>
  <sheetFormatPr defaultRowHeight="14.4" x14ac:dyDescent="0.3"/>
  <cols>
    <col min="1" max="1" width="28.6640625" customWidth="1"/>
    <col min="2" max="2" width="30.6640625" customWidth="1"/>
    <col min="3" max="3" width="18" customWidth="1"/>
    <col min="4" max="4" width="17.88671875" customWidth="1"/>
    <col min="5" max="5" width="19.5546875" customWidth="1"/>
    <col min="6" max="6" width="30.33203125" customWidth="1"/>
    <col min="7" max="7" width="16.6640625" customWidth="1"/>
    <col min="8" max="8" width="19.21875" customWidth="1"/>
    <col min="9" max="9" width="28.33203125" customWidth="1"/>
    <col min="10" max="10" width="26.44140625" customWidth="1"/>
    <col min="11" max="11" width="23" customWidth="1"/>
    <col min="12" max="12" width="21.6640625" customWidth="1"/>
    <col min="13" max="13" width="23.33203125" customWidth="1"/>
  </cols>
  <sheetData>
    <row r="1" spans="1:23" ht="14.4" customHeight="1" x14ac:dyDescent="0.3">
      <c r="A1" s="71" t="s">
        <v>33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</row>
    <row r="2" spans="1:23" ht="14.4" customHeight="1" x14ac:dyDescent="0.3">
      <c r="A2" s="145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</row>
    <row r="3" spans="1:23" ht="14.4" customHeight="1" x14ac:dyDescent="0.3">
      <c r="A3" s="145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</row>
    <row r="4" spans="1:23" ht="14.4" customHeight="1" x14ac:dyDescent="0.3">
      <c r="A4" s="145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</row>
    <row r="5" spans="1:23" ht="14.4" customHeight="1" x14ac:dyDescent="0.3">
      <c r="A5" s="145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</row>
    <row r="6" spans="1:23" ht="14.4" customHeight="1" x14ac:dyDescent="0.3">
      <c r="A6" s="145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</row>
    <row r="7" spans="1:23" ht="14.4" customHeight="1" x14ac:dyDescent="0.3">
      <c r="A7" s="145"/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</row>
    <row r="8" spans="1:23" ht="14.4" customHeight="1" x14ac:dyDescent="0.3">
      <c r="A8" s="145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</row>
    <row r="9" spans="1:23" ht="14.4" customHeight="1" x14ac:dyDescent="0.3">
      <c r="A9" s="147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</row>
    <row r="10" spans="1:23" ht="48.6" customHeight="1" x14ac:dyDescent="0.3">
      <c r="A10" s="26" t="s">
        <v>20</v>
      </c>
      <c r="B10" s="27" t="s">
        <v>42</v>
      </c>
      <c r="C10" s="27" t="s">
        <v>21</v>
      </c>
      <c r="D10" s="27" t="s">
        <v>43</v>
      </c>
      <c r="E10" s="27" t="s">
        <v>44</v>
      </c>
      <c r="F10" s="27" t="s">
        <v>45</v>
      </c>
      <c r="G10" s="27" t="s">
        <v>22</v>
      </c>
      <c r="H10" s="27" t="s">
        <v>23</v>
      </c>
      <c r="I10" s="27" t="s">
        <v>46</v>
      </c>
      <c r="J10" s="27" t="s">
        <v>47</v>
      </c>
      <c r="K10" s="27" t="s">
        <v>34</v>
      </c>
      <c r="L10" s="27" t="s">
        <v>48</v>
      </c>
      <c r="M10" s="28" t="s">
        <v>49</v>
      </c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42.6" customHeight="1" x14ac:dyDescent="0.3">
      <c r="A11" s="24" t="s">
        <v>18</v>
      </c>
      <c r="B11" s="10" t="s">
        <v>24</v>
      </c>
      <c r="C11" s="10">
        <v>1</v>
      </c>
      <c r="D11" s="10">
        <v>415</v>
      </c>
      <c r="E11" s="10">
        <v>2</v>
      </c>
      <c r="F11" s="10">
        <v>0.9</v>
      </c>
      <c r="G11" s="10">
        <v>3</v>
      </c>
      <c r="H11" s="10" t="s">
        <v>32</v>
      </c>
      <c r="I11" s="11">
        <f>(1.73*D11*E11*F11)/1000</f>
        <v>1.2923100000000001</v>
      </c>
      <c r="J11" s="11">
        <f>I11*C11</f>
        <v>1.2923100000000001</v>
      </c>
      <c r="K11" s="10">
        <v>8</v>
      </c>
      <c r="L11" s="11">
        <f>K11*J11</f>
        <v>10.338480000000001</v>
      </c>
      <c r="M11" s="25">
        <f t="shared" ref="M11:M30" si="0">80*L11</f>
        <v>827.0784000000001</v>
      </c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44.4" customHeight="1" x14ac:dyDescent="0.3">
      <c r="A12" s="24" t="s">
        <v>18</v>
      </c>
      <c r="B12" s="10" t="s">
        <v>25</v>
      </c>
      <c r="C12" s="10">
        <v>5</v>
      </c>
      <c r="D12" s="10">
        <v>415</v>
      </c>
      <c r="E12" s="10">
        <v>1.2</v>
      </c>
      <c r="F12" s="10">
        <v>0.9</v>
      </c>
      <c r="G12" s="10">
        <v>3</v>
      </c>
      <c r="H12" s="10" t="s">
        <v>32</v>
      </c>
      <c r="I12" s="11">
        <f t="shared" ref="I12:I23" si="1">(1.73*D12*E12*F12)/1000</f>
        <v>0.77538600000000013</v>
      </c>
      <c r="J12" s="11">
        <f t="shared" ref="J12:J23" si="2">I12*C12</f>
        <v>3.8769300000000007</v>
      </c>
      <c r="K12" s="10">
        <v>8</v>
      </c>
      <c r="L12" s="11">
        <f t="shared" ref="L12:L23" si="3">K12*J12</f>
        <v>31.015440000000005</v>
      </c>
      <c r="M12" s="25">
        <f t="shared" si="0"/>
        <v>2481.2352000000005</v>
      </c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48" customHeight="1" x14ac:dyDescent="0.3">
      <c r="A13" s="24" t="s">
        <v>18</v>
      </c>
      <c r="B13" s="10" t="s">
        <v>26</v>
      </c>
      <c r="C13" s="10">
        <v>7</v>
      </c>
      <c r="D13" s="10">
        <v>415</v>
      </c>
      <c r="E13" s="10">
        <v>3.4</v>
      </c>
      <c r="F13" s="10">
        <v>0.9</v>
      </c>
      <c r="G13" s="10">
        <v>3</v>
      </c>
      <c r="H13" s="10" t="s">
        <v>32</v>
      </c>
      <c r="I13" s="11">
        <f t="shared" si="1"/>
        <v>2.1969270000000001</v>
      </c>
      <c r="J13" s="11">
        <f t="shared" si="2"/>
        <v>15.378489</v>
      </c>
      <c r="K13" s="10">
        <v>8</v>
      </c>
      <c r="L13" s="11">
        <f t="shared" si="3"/>
        <v>123.027912</v>
      </c>
      <c r="M13" s="25">
        <f t="shared" si="0"/>
        <v>9842.2329599999994</v>
      </c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40.799999999999997" customHeight="1" x14ac:dyDescent="0.3">
      <c r="A14" s="24" t="s">
        <v>18</v>
      </c>
      <c r="B14" s="10" t="s">
        <v>27</v>
      </c>
      <c r="C14" s="10">
        <v>1</v>
      </c>
      <c r="D14" s="10">
        <v>415</v>
      </c>
      <c r="E14" s="10">
        <v>10</v>
      </c>
      <c r="F14" s="10">
        <v>0.9</v>
      </c>
      <c r="G14" s="10">
        <v>3</v>
      </c>
      <c r="H14" s="10" t="s">
        <v>32</v>
      </c>
      <c r="I14" s="11">
        <f t="shared" si="1"/>
        <v>6.4615499999999999</v>
      </c>
      <c r="J14" s="11">
        <f t="shared" si="2"/>
        <v>6.4615499999999999</v>
      </c>
      <c r="K14" s="10">
        <v>8</v>
      </c>
      <c r="L14" s="11">
        <f t="shared" si="3"/>
        <v>51.692399999999999</v>
      </c>
      <c r="M14" s="25">
        <f t="shared" si="0"/>
        <v>4135.3919999999998</v>
      </c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37.200000000000003" customHeight="1" x14ac:dyDescent="0.3">
      <c r="A15" s="24" t="s">
        <v>18</v>
      </c>
      <c r="B15" s="10" t="s">
        <v>28</v>
      </c>
      <c r="C15" s="10">
        <v>2</v>
      </c>
      <c r="D15" s="10">
        <v>415</v>
      </c>
      <c r="E15" s="10">
        <v>2</v>
      </c>
      <c r="F15" s="10">
        <v>0.9</v>
      </c>
      <c r="G15" s="10">
        <v>3</v>
      </c>
      <c r="H15" s="10" t="s">
        <v>32</v>
      </c>
      <c r="I15" s="11">
        <f t="shared" si="1"/>
        <v>1.2923100000000001</v>
      </c>
      <c r="J15" s="11">
        <f t="shared" si="2"/>
        <v>2.5846200000000001</v>
      </c>
      <c r="K15" s="10">
        <v>8</v>
      </c>
      <c r="L15" s="11">
        <f t="shared" si="3"/>
        <v>20.676960000000001</v>
      </c>
      <c r="M15" s="25">
        <f t="shared" si="0"/>
        <v>1654.1568000000002</v>
      </c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48" customHeight="1" x14ac:dyDescent="0.3">
      <c r="A16" s="24" t="s">
        <v>18</v>
      </c>
      <c r="B16" s="10" t="s">
        <v>29</v>
      </c>
      <c r="C16" s="10">
        <v>2</v>
      </c>
      <c r="D16" s="10">
        <v>415</v>
      </c>
      <c r="E16" s="10">
        <v>11.7</v>
      </c>
      <c r="F16" s="10">
        <v>0.9</v>
      </c>
      <c r="G16" s="10">
        <v>3</v>
      </c>
      <c r="H16" s="10" t="s">
        <v>32</v>
      </c>
      <c r="I16" s="11">
        <f t="shared" si="1"/>
        <v>7.5600135000000002</v>
      </c>
      <c r="J16" s="11">
        <f t="shared" si="2"/>
        <v>15.120027</v>
      </c>
      <c r="K16" s="10">
        <v>8</v>
      </c>
      <c r="L16" s="11">
        <f t="shared" si="3"/>
        <v>120.960216</v>
      </c>
      <c r="M16" s="25">
        <f t="shared" si="0"/>
        <v>9676.8172799999993</v>
      </c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45" customHeight="1" x14ac:dyDescent="0.3">
      <c r="A17" s="24" t="s">
        <v>18</v>
      </c>
      <c r="B17" s="10" t="s">
        <v>30</v>
      </c>
      <c r="C17" s="10">
        <v>4</v>
      </c>
      <c r="D17" s="10">
        <v>415</v>
      </c>
      <c r="E17" s="10">
        <v>2.2000000000000002</v>
      </c>
      <c r="F17" s="10">
        <v>0.9</v>
      </c>
      <c r="G17" s="10">
        <v>3</v>
      </c>
      <c r="H17" s="10" t="s">
        <v>32</v>
      </c>
      <c r="I17" s="11">
        <f t="shared" si="1"/>
        <v>1.4215410000000002</v>
      </c>
      <c r="J17" s="11">
        <f t="shared" si="2"/>
        <v>5.6861640000000007</v>
      </c>
      <c r="K17" s="10">
        <v>8</v>
      </c>
      <c r="L17" s="11">
        <f t="shared" si="3"/>
        <v>45.489312000000005</v>
      </c>
      <c r="M17" s="25">
        <f t="shared" si="0"/>
        <v>3639.1449600000005</v>
      </c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55.2" customHeight="1" x14ac:dyDescent="0.3">
      <c r="A18" s="24" t="s">
        <v>18</v>
      </c>
      <c r="B18" s="10" t="s">
        <v>31</v>
      </c>
      <c r="C18" s="10">
        <v>2</v>
      </c>
      <c r="D18" s="10">
        <v>415</v>
      </c>
      <c r="E18" s="10">
        <v>7.4</v>
      </c>
      <c r="F18" s="10">
        <v>0.9</v>
      </c>
      <c r="G18" s="10">
        <v>3</v>
      </c>
      <c r="H18" s="10" t="s">
        <v>32</v>
      </c>
      <c r="I18" s="11">
        <f t="shared" si="1"/>
        <v>4.7815470000000007</v>
      </c>
      <c r="J18" s="11">
        <f t="shared" si="2"/>
        <v>9.5630940000000013</v>
      </c>
      <c r="K18" s="10">
        <v>8</v>
      </c>
      <c r="L18" s="11">
        <f t="shared" si="3"/>
        <v>76.504752000000011</v>
      </c>
      <c r="M18" s="25">
        <f t="shared" si="0"/>
        <v>6120.3801600000006</v>
      </c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39" customHeight="1" x14ac:dyDescent="0.3">
      <c r="A19" s="24" t="s">
        <v>2</v>
      </c>
      <c r="B19" s="10" t="s">
        <v>69</v>
      </c>
      <c r="C19" s="10">
        <v>1</v>
      </c>
      <c r="D19" s="10">
        <v>415</v>
      </c>
      <c r="E19" s="10">
        <v>10</v>
      </c>
      <c r="F19" s="10">
        <v>0.9</v>
      </c>
      <c r="G19" s="10">
        <v>3</v>
      </c>
      <c r="H19" s="10" t="s">
        <v>32</v>
      </c>
      <c r="I19" s="11">
        <f t="shared" si="1"/>
        <v>6.4615499999999999</v>
      </c>
      <c r="J19" s="11">
        <f t="shared" si="2"/>
        <v>6.4615499999999999</v>
      </c>
      <c r="K19" s="10">
        <v>8</v>
      </c>
      <c r="L19" s="11">
        <f t="shared" si="3"/>
        <v>51.692399999999999</v>
      </c>
      <c r="M19" s="25">
        <f t="shared" si="0"/>
        <v>4135.3919999999998</v>
      </c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45.6" customHeight="1" x14ac:dyDescent="0.3">
      <c r="A20" s="24" t="s">
        <v>2</v>
      </c>
      <c r="B20" s="10" t="s">
        <v>31</v>
      </c>
      <c r="C20" s="10">
        <v>1</v>
      </c>
      <c r="D20" s="10">
        <v>415</v>
      </c>
      <c r="E20" s="10">
        <v>12</v>
      </c>
      <c r="F20" s="10">
        <v>0.9</v>
      </c>
      <c r="G20" s="10">
        <v>3</v>
      </c>
      <c r="H20" s="10" t="s">
        <v>70</v>
      </c>
      <c r="I20" s="11">
        <f t="shared" si="1"/>
        <v>7.7538600000000013</v>
      </c>
      <c r="J20" s="11">
        <f t="shared" si="2"/>
        <v>7.7538600000000013</v>
      </c>
      <c r="K20" s="10">
        <v>8</v>
      </c>
      <c r="L20" s="11">
        <f t="shared" si="3"/>
        <v>62.03088000000001</v>
      </c>
      <c r="M20" s="25">
        <f t="shared" si="0"/>
        <v>4962.4704000000011</v>
      </c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45.6" customHeight="1" x14ac:dyDescent="0.3">
      <c r="A21" s="24" t="s">
        <v>2</v>
      </c>
      <c r="B21" s="10" t="s">
        <v>72</v>
      </c>
      <c r="C21" s="10">
        <v>4</v>
      </c>
      <c r="D21" s="10">
        <v>220</v>
      </c>
      <c r="E21" s="10">
        <v>2.23</v>
      </c>
      <c r="F21" s="10">
        <v>0.9</v>
      </c>
      <c r="G21" s="10">
        <v>1</v>
      </c>
      <c r="H21" s="10" t="s">
        <v>32</v>
      </c>
      <c r="I21" s="11">
        <f>(1.73*D21*E21*F21)/1000</f>
        <v>0.7638642000000001</v>
      </c>
      <c r="J21" s="11">
        <f>I21*C21</f>
        <v>3.0554568000000004</v>
      </c>
      <c r="K21" s="10">
        <v>8</v>
      </c>
      <c r="L21" s="11">
        <f>K21*J21</f>
        <v>24.443654400000003</v>
      </c>
      <c r="M21" s="25">
        <f>80*L21</f>
        <v>1955.4923520000002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45.6" customHeight="1" x14ac:dyDescent="0.3">
      <c r="A22" s="24" t="s">
        <v>2</v>
      </c>
      <c r="B22" s="10" t="s">
        <v>24</v>
      </c>
      <c r="C22" s="10">
        <v>1</v>
      </c>
      <c r="D22" s="10">
        <v>415</v>
      </c>
      <c r="E22" s="10">
        <v>11</v>
      </c>
      <c r="F22" s="10">
        <v>0.9</v>
      </c>
      <c r="G22" s="10">
        <v>3</v>
      </c>
      <c r="H22" s="10" t="s">
        <v>32</v>
      </c>
      <c r="I22" s="11">
        <f>(1.73*D22*E22*F22)/1000</f>
        <v>7.107705000000001</v>
      </c>
      <c r="J22" s="11">
        <f>I22*C22</f>
        <v>7.107705000000001</v>
      </c>
      <c r="K22" s="10">
        <v>8</v>
      </c>
      <c r="L22" s="11">
        <f>K22*J22</f>
        <v>56.861640000000008</v>
      </c>
      <c r="M22" s="25">
        <f>80*L22</f>
        <v>4548.9312000000009</v>
      </c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46.8" customHeight="1" x14ac:dyDescent="0.3">
      <c r="A23" s="29" t="s">
        <v>2</v>
      </c>
      <c r="B23" s="30" t="s">
        <v>71</v>
      </c>
      <c r="C23" s="30">
        <v>1</v>
      </c>
      <c r="D23" s="30">
        <v>415</v>
      </c>
      <c r="E23" s="30">
        <v>20</v>
      </c>
      <c r="F23" s="30">
        <v>0.9</v>
      </c>
      <c r="G23" s="30">
        <v>3</v>
      </c>
      <c r="H23" s="30" t="s">
        <v>32</v>
      </c>
      <c r="I23" s="31">
        <f t="shared" si="1"/>
        <v>12.9231</v>
      </c>
      <c r="J23" s="31">
        <f t="shared" si="2"/>
        <v>12.9231</v>
      </c>
      <c r="K23" s="30">
        <v>8</v>
      </c>
      <c r="L23" s="31">
        <f t="shared" si="3"/>
        <v>103.3848</v>
      </c>
      <c r="M23" s="25">
        <f t="shared" si="0"/>
        <v>8270.7839999999997</v>
      </c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49.2" customHeight="1" x14ac:dyDescent="0.3">
      <c r="A24" s="24" t="s">
        <v>14</v>
      </c>
      <c r="B24" s="10" t="s">
        <v>74</v>
      </c>
      <c r="C24" s="10">
        <v>1</v>
      </c>
      <c r="D24" s="10">
        <v>415</v>
      </c>
      <c r="E24" s="10">
        <v>3</v>
      </c>
      <c r="F24" s="10">
        <v>0.9</v>
      </c>
      <c r="G24" s="10">
        <v>3</v>
      </c>
      <c r="H24" s="10" t="s">
        <v>32</v>
      </c>
      <c r="I24" s="11">
        <f>(1.73*D24*E24*F24)/1000</f>
        <v>1.9384650000000003</v>
      </c>
      <c r="J24" s="11">
        <f>I24*C24</f>
        <v>1.9384650000000003</v>
      </c>
      <c r="K24" s="10">
        <v>8</v>
      </c>
      <c r="L24" s="11">
        <f>K24*J24</f>
        <v>15.507720000000003</v>
      </c>
      <c r="M24" s="25">
        <f>80*L24</f>
        <v>1240.6176000000003</v>
      </c>
    </row>
    <row r="25" spans="1:23" ht="50.4" customHeight="1" x14ac:dyDescent="0.3">
      <c r="A25" s="24" t="s">
        <v>14</v>
      </c>
      <c r="B25" s="10" t="s">
        <v>73</v>
      </c>
      <c r="C25" s="10">
        <v>1</v>
      </c>
      <c r="D25" s="10">
        <v>415</v>
      </c>
      <c r="E25" s="10">
        <v>7</v>
      </c>
      <c r="F25" s="10">
        <v>0.9</v>
      </c>
      <c r="G25" s="10">
        <v>3</v>
      </c>
      <c r="H25" s="10" t="s">
        <v>32</v>
      </c>
      <c r="I25" s="11">
        <f>(1.73*D25*E25*F25)/1000</f>
        <v>4.5230850000000009</v>
      </c>
      <c r="J25" s="11">
        <f>I25*C25</f>
        <v>4.5230850000000009</v>
      </c>
      <c r="K25" s="10">
        <v>8</v>
      </c>
      <c r="L25" s="11">
        <f>K25*J25</f>
        <v>36.184680000000007</v>
      </c>
      <c r="M25" s="25">
        <f>80*L25</f>
        <v>2894.7744000000007</v>
      </c>
    </row>
    <row r="26" spans="1:23" ht="45" customHeight="1" x14ac:dyDescent="0.3">
      <c r="A26" s="24" t="s">
        <v>14</v>
      </c>
      <c r="B26" s="10" t="s">
        <v>25</v>
      </c>
      <c r="C26" s="30">
        <v>1</v>
      </c>
      <c r="D26" s="30">
        <v>415</v>
      </c>
      <c r="E26" s="10">
        <v>6</v>
      </c>
      <c r="F26" s="30">
        <v>0.9</v>
      </c>
      <c r="G26" s="30">
        <v>3</v>
      </c>
      <c r="H26" s="30" t="s">
        <v>32</v>
      </c>
      <c r="I26" s="11">
        <f t="shared" ref="I26:I30" si="4">(1.73*D26*E26*F26)/1000</f>
        <v>3.8769300000000007</v>
      </c>
      <c r="J26" s="11">
        <f t="shared" ref="J26:J30" si="5">I26*C26</f>
        <v>3.8769300000000007</v>
      </c>
      <c r="K26" s="30">
        <v>8</v>
      </c>
      <c r="L26" s="11">
        <f t="shared" ref="L26:L30" si="6">K26*J26</f>
        <v>31.015440000000005</v>
      </c>
      <c r="M26" s="25">
        <f t="shared" si="0"/>
        <v>2481.2352000000005</v>
      </c>
    </row>
    <row r="27" spans="1:23" ht="47.4" customHeight="1" x14ac:dyDescent="0.3">
      <c r="A27" s="37" t="s">
        <v>1</v>
      </c>
      <c r="B27" s="10" t="s">
        <v>64</v>
      </c>
      <c r="C27" s="30">
        <v>1</v>
      </c>
      <c r="D27" s="30">
        <v>415</v>
      </c>
      <c r="E27" s="10">
        <v>22</v>
      </c>
      <c r="F27" s="30">
        <v>0.9</v>
      </c>
      <c r="G27" s="30">
        <v>3</v>
      </c>
      <c r="H27" s="30" t="s">
        <v>32</v>
      </c>
      <c r="I27" s="11">
        <f t="shared" ref="I27" si="7">(1.73*D27*E27*F27)/1000</f>
        <v>14.215410000000002</v>
      </c>
      <c r="J27" s="11">
        <f t="shared" ref="J27" si="8">I27*C27</f>
        <v>14.215410000000002</v>
      </c>
      <c r="K27" s="30">
        <v>8</v>
      </c>
      <c r="L27" s="11">
        <f>K27*J27</f>
        <v>113.72328000000002</v>
      </c>
      <c r="M27" s="25">
        <f t="shared" si="0"/>
        <v>9097.8624000000018</v>
      </c>
    </row>
    <row r="28" spans="1:23" ht="56.4" customHeight="1" x14ac:dyDescent="0.3">
      <c r="A28" s="24" t="s">
        <v>15</v>
      </c>
      <c r="B28" s="10" t="s">
        <v>64</v>
      </c>
      <c r="C28" s="30">
        <v>1</v>
      </c>
      <c r="D28" s="30">
        <v>415</v>
      </c>
      <c r="E28" s="10">
        <v>7</v>
      </c>
      <c r="F28" s="30">
        <v>0.9</v>
      </c>
      <c r="G28" s="30">
        <v>3</v>
      </c>
      <c r="H28" s="30" t="s">
        <v>32</v>
      </c>
      <c r="I28" s="11">
        <f t="shared" si="4"/>
        <v>4.5230850000000009</v>
      </c>
      <c r="J28" s="11">
        <f t="shared" si="5"/>
        <v>4.5230850000000009</v>
      </c>
      <c r="K28" s="30">
        <v>8</v>
      </c>
      <c r="L28" s="11">
        <f t="shared" si="6"/>
        <v>36.184680000000007</v>
      </c>
      <c r="M28" s="25">
        <f t="shared" si="0"/>
        <v>2894.7744000000007</v>
      </c>
    </row>
    <row r="29" spans="1:23" ht="53.4" customHeight="1" x14ac:dyDescent="0.3">
      <c r="A29" s="24" t="s">
        <v>16</v>
      </c>
      <c r="B29" s="10" t="s">
        <v>64</v>
      </c>
      <c r="C29" s="30">
        <v>1</v>
      </c>
      <c r="D29" s="30">
        <v>415</v>
      </c>
      <c r="E29" s="10">
        <v>2.5</v>
      </c>
      <c r="F29" s="30">
        <v>0.9</v>
      </c>
      <c r="G29" s="30">
        <v>3</v>
      </c>
      <c r="H29" s="30" t="s">
        <v>32</v>
      </c>
      <c r="I29" s="11">
        <f t="shared" si="4"/>
        <v>1.6153875</v>
      </c>
      <c r="J29" s="11">
        <f t="shared" si="5"/>
        <v>1.6153875</v>
      </c>
      <c r="K29" s="30">
        <v>8</v>
      </c>
      <c r="L29" s="11">
        <f t="shared" si="6"/>
        <v>12.9231</v>
      </c>
      <c r="M29" s="25">
        <f t="shared" si="0"/>
        <v>1033.848</v>
      </c>
    </row>
    <row r="30" spans="1:23" ht="45.6" customHeight="1" x14ac:dyDescent="0.3">
      <c r="A30" s="24" t="s">
        <v>17</v>
      </c>
      <c r="B30" s="10" t="s">
        <v>75</v>
      </c>
      <c r="C30" s="30">
        <v>1</v>
      </c>
      <c r="D30" s="30">
        <v>415</v>
      </c>
      <c r="E30" s="10">
        <v>41</v>
      </c>
      <c r="F30" s="30">
        <v>0.9</v>
      </c>
      <c r="G30" s="30">
        <v>3</v>
      </c>
      <c r="H30" s="30" t="s">
        <v>32</v>
      </c>
      <c r="I30" s="11">
        <f t="shared" si="4"/>
        <v>26.492355</v>
      </c>
      <c r="J30" s="11">
        <f t="shared" si="5"/>
        <v>26.492355</v>
      </c>
      <c r="K30" s="30">
        <v>8</v>
      </c>
      <c r="L30" s="11">
        <f t="shared" si="6"/>
        <v>211.93884</v>
      </c>
      <c r="M30" s="25">
        <f t="shared" si="0"/>
        <v>16955.107199999999</v>
      </c>
    </row>
    <row r="31" spans="1:23" ht="25.8" customHeight="1" x14ac:dyDescent="0.3">
      <c r="A31" s="2"/>
      <c r="B31" s="2"/>
      <c r="C31" s="2"/>
      <c r="D31" s="2"/>
      <c r="E31" s="2"/>
      <c r="F31" s="2"/>
      <c r="G31" s="2"/>
      <c r="H31" s="2"/>
      <c r="I31" s="3"/>
      <c r="J31" s="3"/>
    </row>
    <row r="32" spans="1:23" ht="18" x14ac:dyDescent="0.3">
      <c r="A32" s="2"/>
      <c r="B32" s="2"/>
      <c r="C32" s="2"/>
      <c r="D32" s="2"/>
      <c r="E32" s="2"/>
      <c r="F32" s="2"/>
      <c r="G32" s="2"/>
      <c r="H32" s="2"/>
      <c r="I32" s="3"/>
      <c r="J32" s="3"/>
    </row>
    <row r="33" spans="1:10" ht="18" x14ac:dyDescent="0.3">
      <c r="A33" s="2"/>
      <c r="B33" s="2"/>
      <c r="C33" s="2"/>
      <c r="D33" s="2"/>
      <c r="E33" s="2"/>
      <c r="F33" s="2"/>
      <c r="G33" s="2"/>
      <c r="H33" s="2"/>
      <c r="I33" s="3"/>
      <c r="J33" s="3"/>
    </row>
    <row r="34" spans="1:10" ht="1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</sheetData>
  <mergeCells count="1">
    <mergeCell ref="A1:M9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3298B-995B-4A59-8D75-7ABCDDBEAD15}">
  <dimension ref="A1:D9"/>
  <sheetViews>
    <sheetView workbookViewId="0">
      <selection activeCell="G5" sqref="G5"/>
    </sheetView>
  </sheetViews>
  <sheetFormatPr defaultRowHeight="14.4" x14ac:dyDescent="0.3"/>
  <cols>
    <col min="1" max="1" width="30" customWidth="1"/>
    <col min="2" max="2" width="30.5546875" customWidth="1"/>
    <col min="3" max="3" width="27.33203125" customWidth="1"/>
    <col min="4" max="4" width="30" customWidth="1"/>
  </cols>
  <sheetData>
    <row r="1" spans="1:4" ht="57.6" customHeight="1" x14ac:dyDescent="0.3">
      <c r="A1" s="149" t="s">
        <v>65</v>
      </c>
      <c r="B1" s="149"/>
      <c r="C1" s="149"/>
      <c r="D1" s="149"/>
    </row>
    <row r="2" spans="1:4" ht="50.4" customHeight="1" x14ac:dyDescent="0.3">
      <c r="A2" s="45" t="s">
        <v>20</v>
      </c>
      <c r="B2" s="46" t="s">
        <v>66</v>
      </c>
      <c r="C2" s="46" t="s">
        <v>68</v>
      </c>
      <c r="D2" s="47" t="s">
        <v>67</v>
      </c>
    </row>
    <row r="3" spans="1:4" ht="36.6" customHeight="1" x14ac:dyDescent="0.3">
      <c r="A3" s="13" t="s">
        <v>1</v>
      </c>
      <c r="B3" s="38">
        <f>SUMIFS(tblEnergy[Total Load (kW)],tblEnergy[Machine],A3)</f>
        <v>14.215410000000002</v>
      </c>
      <c r="C3" s="38">
        <f>SUMIFS(tblEnergy[Energy (kWh)],tblEnergy[Machine],A3)</f>
        <v>113.72328000000002</v>
      </c>
      <c r="D3" s="44">
        <f>SUMIFS(tblEnergy[Cost (Rs/day)],tblEnergy[Machine],A3)</f>
        <v>9097.8624000000018</v>
      </c>
    </row>
    <row r="4" spans="1:4" ht="36.6" customHeight="1" x14ac:dyDescent="0.3">
      <c r="A4" s="13" t="s">
        <v>14</v>
      </c>
      <c r="B4" s="38">
        <f>SUMIFS(tblEnergy[Total Load (kW)],tblEnergy[Machine],A4)</f>
        <v>10.338480000000001</v>
      </c>
      <c r="C4" s="38">
        <f>SUMIFS(tblEnergy[Energy (kWh)],tblEnergy[Machine],A4)</f>
        <v>82.707840000000004</v>
      </c>
      <c r="D4" s="44">
        <f>SUMIFS(tblEnergy[Cost (Rs/day)],tblEnergy[Machine],A4)</f>
        <v>6616.6272000000008</v>
      </c>
    </row>
    <row r="5" spans="1:4" ht="36.6" customHeight="1" x14ac:dyDescent="0.3">
      <c r="A5" s="13" t="s">
        <v>15</v>
      </c>
      <c r="B5" s="38">
        <f>SUMIFS(tblEnergy[Total Load (kW)],tblEnergy[Machine],A5)</f>
        <v>4.5230850000000009</v>
      </c>
      <c r="C5" s="38">
        <f>SUMIFS(tblEnergy[Energy (kWh)],tblEnergy[Machine],A5)</f>
        <v>36.184680000000007</v>
      </c>
      <c r="D5" s="44">
        <f>SUMIFS(tblEnergy[Cost (Rs/day)],tblEnergy[Machine],A5)</f>
        <v>2894.7744000000007</v>
      </c>
    </row>
    <row r="6" spans="1:4" ht="36.6" customHeight="1" x14ac:dyDescent="0.3">
      <c r="A6" s="13" t="s">
        <v>16</v>
      </c>
      <c r="B6" s="38">
        <f>SUMIFS(tblEnergy[Total Load (kW)],tblEnergy[Machine],A6)</f>
        <v>1.6153875</v>
      </c>
      <c r="C6" s="38">
        <f>SUMIFS(tblEnergy[Energy (kWh)],tblEnergy[Machine],A6)</f>
        <v>12.9231</v>
      </c>
      <c r="D6" s="44">
        <f>SUMIFS(tblEnergy[Cost (Rs/day)],tblEnergy[Machine],A6)</f>
        <v>1033.848</v>
      </c>
    </row>
    <row r="7" spans="1:4" ht="36.6" customHeight="1" x14ac:dyDescent="0.3">
      <c r="A7" s="13" t="s">
        <v>17</v>
      </c>
      <c r="B7" s="38">
        <f>SUMIFS(tblEnergy[Total Load (kW)],tblEnergy[Machine],A7)</f>
        <v>26.492355</v>
      </c>
      <c r="C7" s="38">
        <f>SUMIFS(tblEnergy[Energy (kWh)],tblEnergy[Machine],A7)</f>
        <v>211.93884</v>
      </c>
      <c r="D7" s="44">
        <f>SUMIFS(tblEnergy[Cost (Rs/day)],tblEnergy[Machine],A7)</f>
        <v>16955.107199999999</v>
      </c>
    </row>
    <row r="8" spans="1:4" ht="36.6" customHeight="1" x14ac:dyDescent="0.3">
      <c r="A8" s="13" t="s">
        <v>18</v>
      </c>
      <c r="B8" s="38">
        <f>SUMIFS(tblEnergy[Total Load (kW)],tblEnergy[Machine],A8)</f>
        <v>59.963183999999998</v>
      </c>
      <c r="C8" s="38">
        <f>SUMIFS(tblEnergy[Energy (kWh)],tblEnergy[Machine],A8)</f>
        <v>479.70547199999999</v>
      </c>
      <c r="D8" s="44">
        <f>SUMIFS(tblEnergy[Cost (Rs/day)],tblEnergy[Machine],A8)</f>
        <v>38376.437760000001</v>
      </c>
    </row>
    <row r="9" spans="1:4" ht="36.6" customHeight="1" x14ac:dyDescent="0.3">
      <c r="A9" s="18" t="s">
        <v>2</v>
      </c>
      <c r="B9" s="48">
        <f>SUMIFS(tblEnergy[Total Load (kW)],tblEnergy[Machine],A9)</f>
        <v>37.301671800000001</v>
      </c>
      <c r="C9" s="48">
        <f>SUMIFS(tblEnergy[Energy (kWh)],tblEnergy[Machine],A9)</f>
        <v>298.41337440000001</v>
      </c>
      <c r="D9" s="49">
        <f>SUMIFS(tblEnergy[Cost (Rs/day)],tblEnergy[Machine],A9)</f>
        <v>23873.069952000005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</vt:lpstr>
      <vt:lpstr>DashBoard</vt:lpstr>
      <vt:lpstr>OEE Data Calculation</vt:lpstr>
      <vt:lpstr>OEE Summary</vt:lpstr>
      <vt:lpstr>Motor Energy Data</vt:lpstr>
      <vt:lpstr>Motor Energy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Kashif</dc:creator>
  <cp:lastModifiedBy>Abubakar Kashif</cp:lastModifiedBy>
  <dcterms:created xsi:type="dcterms:W3CDTF">2026-06-24T06:26:04Z</dcterms:created>
  <dcterms:modified xsi:type="dcterms:W3CDTF">2026-07-15T15:22:31Z</dcterms:modified>
</cp:coreProperties>
</file>